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 sheetId="1" state="visible" r:id="rId3"/>
    <sheet name="Screening log" sheetId="2" state="visible" r:id="rId4"/>
    <sheet name="Counts" sheetId="3" state="visible" r:id="rId5"/>
    <sheet name="Full-text queue" sheetId="4" state="visible" r:id="rId6"/>
  </sheets>
  <definedNames>
    <definedName function="false" hidden="true" localSheetId="1" name="_xlnm._FilterDatabase" vbProcedure="false">'Screening log'!$A$1:$H$312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<sst xmlns="http://schemas.openxmlformats.org/spreadsheetml/2006/main" count="1757" uniqueCount="877">
  <si>
    <t xml:space="preserve">Screening log for the PubMed search</t>
  </si>
  <si>
    <t xml:space="preserve">Search string</t>
  </si>
  <si>
    <t xml:space="preserve">("total hip arthroplasty"[tiab] OR "total hip replacement"[tiab] OR "Arthroplasty, Replacement, Hip"[Mesh]) AND (registry[tiab] OR register[tiab]) AND (bearing*[tiab] OR polyethylene[tiab] OR "cross-linked"[tiab] OR crosslinked[tiab] OR "ceramic-on-ceramic"[tiab] OR "metal-on-metal"[tiab]) AND (revision[tiab] OR survivorship[tiab] OR survival[tiab])</t>
  </si>
  <si>
    <t xml:space="preserve">Filters</t>
  </si>
  <si>
    <t xml:space="preserve">English; publication years 2010-2026</t>
  </si>
  <si>
    <t xml:space="preserve">Date run</t>
  </si>
  <si>
    <t xml:space="preserve">24 September 2026</t>
  </si>
  <si>
    <t xml:space="preserve">Results</t>
  </si>
  <si>
    <t xml:space="preserve">311</t>
  </si>
  <si>
    <t xml:space="preserve">Who screened</t>
  </si>
  <si>
    <t xml:space="preserve">First-pass title screening by an AI assistant (Claude). Anything possibly relevant was sent forward to full-text review.</t>
  </si>
  <si>
    <t xml:space="preserve">What you do</t>
  </si>
  <si>
    <t xml:space="preserve">Check each decision in the yellow column of the Screening log. At minimum, review every green (full-text) row and a sample of exclusions.</t>
  </si>
  <si>
    <t xml:space="preserve">FT</t>
  </si>
  <si>
    <t xml:space="preserve">Retrieve full text</t>
  </si>
  <si>
    <t xml:space="preserve">X1</t>
  </si>
  <si>
    <t xml:space="preserve">Exclude: not registry-based (single-centre series, trial, cost model, claims data)</t>
  </si>
  <si>
    <t xml:space="preserve">X2</t>
  </si>
  <si>
    <t xml:space="preserve">Exclude: not a primary THA population (revision, resurfacing, fracture, knee/ankle)</t>
  </si>
  <si>
    <t xml:space="preserve">X3</t>
  </si>
  <si>
    <t xml:space="preserve">Exclude: does not compare bearing surface categories</t>
  </si>
  <si>
    <t xml:space="preserve">X4</t>
  </si>
  <si>
    <t xml:space="preserve">Exclude: review, meta-analysis, commentary, or thesis summary</t>
  </si>
  <si>
    <t xml:space="preserve">X5</t>
  </si>
  <si>
    <t xml:space="preserve">Exclude: outcome limited to one cause of revision, not all-cause</t>
  </si>
  <si>
    <t xml:space="preserve">#</t>
  </si>
  <si>
    <t xml:space="preserve">PMID</t>
  </si>
  <si>
    <t xml:space="preserve">Journal / year</t>
  </si>
  <si>
    <t xml:space="preserve">Title</t>
  </si>
  <si>
    <t xml:space="preserve">Stage 1 decision (title screening)</t>
  </si>
  <si>
    <t xml:space="preserve">Code</t>
  </si>
  <si>
    <t xml:space="preserve">Note</t>
  </si>
  <si>
    <t xml:space="preserve">Your check (agree / disagree)</t>
  </si>
  <si>
    <t xml:space="preserve">41763743</t>
  </si>
  <si>
    <t xml:space="preserve">Lancet. 2026.</t>
  </si>
  <si>
    <t xml:space="preserve">Survivorship of modern total hip replacement to 30 years: systematic review, meta-analysis, and extrapolation of global joint registry data.</t>
  </si>
  <si>
    <t xml:space="preserve">34846589</t>
  </si>
  <si>
    <t xml:space="preserve">Arch Orthop Trauma Surg. 2022.</t>
  </si>
  <si>
    <t xml:space="preserve">Outcome of revised metal-on-metal hip arthroplasties: a Dutch arthroplasty register study.</t>
  </si>
  <si>
    <t xml:space="preserve">31160152</t>
  </si>
  <si>
    <t xml:space="preserve">J Arthroplasty. 2019.</t>
  </si>
  <si>
    <t xml:space="preserve">Delta-on-Delta Ceramic Bearing Surfaces in Revision Hip Arthroplasty.</t>
  </si>
  <si>
    <t xml:space="preserve">29102074</t>
  </si>
  <si>
    <t xml:space="preserve">J Arthroplasty. 2018.</t>
  </si>
  <si>
    <t xml:space="preserve">Long-Term Survival of Total Hip Arthroplasty Using Implants From Different Manufacturers.</t>
  </si>
  <si>
    <t xml:space="preserve">35738361</t>
  </si>
  <si>
    <t xml:space="preserve">J Arthroplasty. 2022.</t>
  </si>
  <si>
    <t xml:space="preserve">Revision Total Hip Arthroplasty for Aseptically Failed Metal-On-Metal Hip Resurfacing Arthroplasty.</t>
  </si>
  <si>
    <t xml:space="preserve">39418353</t>
  </si>
  <si>
    <t xml:space="preserve">J Bone Joint Surg Am. 2024.</t>
  </si>
  <si>
    <t xml:space="preserve">Dual-Mobility Articulations in Revision Total Hip Arthroplasty: A Comparison with Metal or Ceramic on Highly Cross-Linked Polyethylene and Constrained Articulations.</t>
  </si>
  <si>
    <t xml:space="preserve">28529109</t>
  </si>
  <si>
    <t xml:space="preserve">J Arthroplasty. 2017.</t>
  </si>
  <si>
    <t xml:space="preserve">Late Dislocations After Total Hip Arthroplasty: Is the Bearing a Factor?</t>
  </si>
  <si>
    <t xml:space="preserve">32412408</t>
  </si>
  <si>
    <t xml:space="preserve">SICOT J. 2020.</t>
  </si>
  <si>
    <t xml:space="preserve">Recent update on crosslinked polyethylene in total hip arthroplasty.</t>
  </si>
  <si>
    <t xml:space="preserve">34682123</t>
  </si>
  <si>
    <t xml:space="preserve">Children (Basel). 2021.</t>
  </si>
  <si>
    <t xml:space="preserve">Cementless Ceramic-on-Ceramic Total Hip Replacement in Children and Adolescents.</t>
  </si>
  <si>
    <t xml:space="preserve">24582159</t>
  </si>
  <si>
    <t xml:space="preserve">J Arthroplasty. 2014.</t>
  </si>
  <si>
    <t xml:space="preserve">Risk factors for total hip arthroplasty aseptic revision.</t>
  </si>
  <si>
    <t xml:space="preserve">32594253</t>
  </si>
  <si>
    <t xml:space="preserve">J Mater Sci Mater Med. 2020.</t>
  </si>
  <si>
    <t xml:space="preserve">Mixed ceramic combinations in primary total hip arthroplasty achieved reassuring mid-to-longterm outcomes.</t>
  </si>
  <si>
    <t xml:space="preserve">29432270</t>
  </si>
  <si>
    <t xml:space="preserve">Clin Orthop Relat Res. 2018.</t>
  </si>
  <si>
    <t xml:space="preserve">What Is the Long-term Survival for Primary THA With Small-head Metal-on-metal Bearings?</t>
  </si>
  <si>
    <t xml:space="preserve">29160130</t>
  </si>
  <si>
    <t xml:space="preserve">Acta Orthop. 2018.</t>
  </si>
  <si>
    <t xml:space="preserve">The effect of bearing type on the outcome of total hip arthroplasty.</t>
  </si>
  <si>
    <t xml:space="preserve">Already in dataset (Peters et al.)</t>
  </si>
  <si>
    <t xml:space="preserve">31977814</t>
  </si>
  <si>
    <t xml:space="preserve">J Bone Joint Surg Am. 2020.</t>
  </si>
  <si>
    <t xml:space="preserve">Primary Total Hip Arthroplasty in Patients 20 Years Old and Younger.</t>
  </si>
  <si>
    <t xml:space="preserve">29493348</t>
  </si>
  <si>
    <t xml:space="preserve">Revision surgery of metal-on-metal hip arthroplasties for adverse reactions to metal debris.</t>
  </si>
  <si>
    <t xml:space="preserve">32862681</t>
  </si>
  <si>
    <t xml:space="preserve">Bone Joint J. 2020.</t>
  </si>
  <si>
    <t xml:space="preserve">A cost-effectiveness assessment of dual-mobility bearings in revision hip arthroplasty.</t>
  </si>
  <si>
    <t xml:space="preserve">39735082</t>
  </si>
  <si>
    <t xml:space="preserve">Cureus. 2024.</t>
  </si>
  <si>
    <t xml:space="preserve">Salvage Total Hip Replacement for Failed Proximal Femoral Fracture Fixation.</t>
  </si>
  <si>
    <t xml:space="preserve">39225803</t>
  </si>
  <si>
    <t xml:space="preserve">Arch Orthop Trauma Surg. 2024.</t>
  </si>
  <si>
    <t xml:space="preserve">Head size in Delta ceramic-on-ceramic total hip arthroplasty: a comparative registry study.</t>
  </si>
  <si>
    <t xml:space="preserve">31136427</t>
  </si>
  <si>
    <t xml:space="preserve">Clin Orthop Relat Res. 2019.</t>
  </si>
  <si>
    <t xml:space="preserve">Are Hooded, Crosslinked Polyethylene Liners Associated with a Reduced Risk of Revision After THA?</t>
  </si>
  <si>
    <t xml:space="preserve">31483399</t>
  </si>
  <si>
    <t xml:space="preserve">J Bone Joint Surg Am. 2019.</t>
  </si>
  <si>
    <t xml:space="preserve">Long-Term Survivorship of Total Hip Arthroplasty with Highly Cross-Linked Polyethylene for Osteonecrosis.</t>
  </si>
  <si>
    <t xml:space="preserve">28576624</t>
  </si>
  <si>
    <t xml:space="preserve">Constrained Acetabular Components Used in Revision Total Hip Arthroplasty: A Registry Analysis.</t>
  </si>
  <si>
    <t xml:space="preserve">38833069</t>
  </si>
  <si>
    <t xml:space="preserve">Musculoskelet Surg. 2024.</t>
  </si>
  <si>
    <t xml:space="preserve">Magnum metal-on-metal uncemented total hip replacement: 8- to 18-year outcomes of 211 cases.</t>
  </si>
  <si>
    <t xml:space="preserve">25740025</t>
  </si>
  <si>
    <t xml:space="preserve">J Bone Joint Surg Am. 2015.</t>
  </si>
  <si>
    <t xml:space="preserve">Revision total hip arthoplasty: factors associated with re-revision surgery.</t>
  </si>
  <si>
    <t xml:space="preserve">38023652</t>
  </si>
  <si>
    <t xml:space="preserve">Arthroplast Today. 2023.</t>
  </si>
  <si>
    <t xml:space="preserve">National Registry Data Analysis on a Unique Highly-Crosslinked Polyethylene for Total Hip Arthroplasty.</t>
  </si>
  <si>
    <t xml:space="preserve">37028772</t>
  </si>
  <si>
    <t xml:space="preserve">J Arthroplasty. 2023.</t>
  </si>
  <si>
    <t xml:space="preserve">Comparative Survival of Contemporary Cementless Acetabular Components Following Revision Total Hip Arthroplasty.</t>
  </si>
  <si>
    <t xml:space="preserve">35271978</t>
  </si>
  <si>
    <t xml:space="preserve">Minimum Five-Year Outcomes of Modular Dual Mobility in Primary Total Hip Arthroplasty.</t>
  </si>
  <si>
    <t xml:space="preserve">27759474</t>
  </si>
  <si>
    <t xml:space="preserve">Acta Orthop. 2016.</t>
  </si>
  <si>
    <t xml:space="preserve">Poor 10-year survivorship of hip resurfacing arthroplasty.</t>
  </si>
  <si>
    <t xml:space="preserve">25737669</t>
  </si>
  <si>
    <t xml:space="preserve">HSS J. 2015.</t>
  </si>
  <si>
    <t xml:space="preserve">Ceramic liner fracture and impingement in total hip arthroplasty.</t>
  </si>
  <si>
    <t xml:space="preserve">37652450</t>
  </si>
  <si>
    <t xml:space="preserve">Bone Joint J. 2023.</t>
  </si>
  <si>
    <t xml:space="preserve">Birmingham Hip Resurfacing at 20 years.</t>
  </si>
  <si>
    <t xml:space="preserve">30063590</t>
  </si>
  <si>
    <t xml:space="preserve">J Bone Joint Surg Am. 2018.</t>
  </si>
  <si>
    <t xml:space="preserve">Cross-Linked Polyethylene for Total Hip Arthroplasty Markedly Reduces Revision Surgery at 16 Years.</t>
  </si>
  <si>
    <t xml:space="preserve">34524578</t>
  </si>
  <si>
    <t xml:space="preserve">J Mater Sci Mater Med. 2021.</t>
  </si>
  <si>
    <t xml:space="preserve">The influence of bearing surfaces on revisions due to dislocations in total hip arthroplasty.</t>
  </si>
  <si>
    <t xml:space="preserve">33812710</t>
  </si>
  <si>
    <t xml:space="preserve">J Arthroplasty. 2021.</t>
  </si>
  <si>
    <t xml:space="preserve">Incidence, Risk Factors, and Outcome of Ceramic-On-Ceramic Bearing Breakage in Total Hip Arthroplasty.</t>
  </si>
  <si>
    <t xml:space="preserve">38964487</t>
  </si>
  <si>
    <t xml:space="preserve">J Arthroplasty. 2024.</t>
  </si>
  <si>
    <t xml:space="preserve">No Revisions Attributable to Wear of Highly Cross-Linked Polyethylene Liners: A Long-Term Follow-Up Study.</t>
  </si>
  <si>
    <t xml:space="preserve">27802289</t>
  </si>
  <si>
    <t xml:space="preserve">PLoS One. 2016.</t>
  </si>
  <si>
    <t xml:space="preserve">Has Metal-On-Metal Resurfacing Been a Cost-Effective Intervention for Health Care Providers?-A Registry Based Study.</t>
  </si>
  <si>
    <t xml:space="preserve">22552980</t>
  </si>
  <si>
    <t xml:space="preserve">Pharmacoepidemiol Drug Saf. 2012.</t>
  </si>
  <si>
    <t xml:space="preserve">Evaluation of total hip arthroplasty devices using a total joint replacement registry.</t>
  </si>
  <si>
    <t xml:space="preserve">30794222</t>
  </si>
  <si>
    <t xml:space="preserve">Revisions of Modular Metal-on-metal THA Have a High Risk of Early Complications.</t>
  </si>
  <si>
    <t xml:space="preserve">34978538</t>
  </si>
  <si>
    <t xml:space="preserve">Clin Orthop Relat Res. 2022.</t>
  </si>
  <si>
    <t xml:space="preserve">In Revision THA, Is the Re-revision Risk for Dislocation and Aseptic Causes Greater in Dual-mobility Constructs or Large Femoral Head Bearings? A Study from the Australian Orthopaedic Association National Joint Replacement Registry.</t>
  </si>
  <si>
    <t xml:space="preserve">26541220</t>
  </si>
  <si>
    <t xml:space="preserve">J Arthroplasty. 2016.</t>
  </si>
  <si>
    <t xml:space="preserve">Contemporary Surgical Indications and Referral Trends in Revision Total Hip Arthroplasty: A 10-Year Review.</t>
  </si>
  <si>
    <t xml:space="preserve">40449555</t>
  </si>
  <si>
    <t xml:space="preserve">Bone Joint J. 2025.</t>
  </si>
  <si>
    <t xml:space="preserve">Total hip arthroplasty in patients with angular proximal femoral deformities.</t>
  </si>
  <si>
    <t xml:space="preserve">25752749</t>
  </si>
  <si>
    <t xml:space="preserve">BMJ. 2015.</t>
  </si>
  <si>
    <t xml:space="preserve">Setting benchmark revision rates for total hip replacement: analysis of registry evidence.</t>
  </si>
  <si>
    <t xml:space="preserve">35091032</t>
  </si>
  <si>
    <t xml:space="preserve">Minimal Clinically Important Difference (MCID) at One Year Postoperatively in Aseptic Revision Total Hip Arthroplasty.</t>
  </si>
  <si>
    <t xml:space="preserve">30141142</t>
  </si>
  <si>
    <t xml:space="preserve">Int Orthop. 2019.</t>
  </si>
  <si>
    <t xml:space="preserve">Highly porous titanium cup in cementless total hip arthroplasty: registry results at eight years.</t>
  </si>
  <si>
    <t xml:space="preserve">39311939</t>
  </si>
  <si>
    <t xml:space="preserve">Modern cementless acetabular cups in total hip arthroplasty performed for primary osteoarthritis: a comparative registry study.</t>
  </si>
  <si>
    <t xml:space="preserve">29870445</t>
  </si>
  <si>
    <t xml:space="preserve">Revision for Symptomatic Pseudotumor After Primary Metal-on-Polyethylene Total Hip Arthroplasty with a Standard Femoral Stem.</t>
  </si>
  <si>
    <t xml:space="preserve">26842406</t>
  </si>
  <si>
    <t xml:space="preserve">J Bone Joint Surg Am. 2016.</t>
  </si>
  <si>
    <t xml:space="preserve">Effect of Body Mass Index on Complications and Reoperations After Total Hip Arthroplasty.</t>
  </si>
  <si>
    <t xml:space="preserve">29529653</t>
  </si>
  <si>
    <t xml:space="preserve">Outcomes After Metal-on-metal Hip Revision Surgery Depend on the Reason for Failure: A Propensity Score-matched Study.</t>
  </si>
  <si>
    <t xml:space="preserve">34597828</t>
  </si>
  <si>
    <t xml:space="preserve">Orthop Traumatol Surg Res. 2022.</t>
  </si>
  <si>
    <t xml:space="preserve">French hip resurfacing registry: A study of 1650 cases.</t>
  </si>
  <si>
    <t xml:space="preserve">34411043</t>
  </si>
  <si>
    <t xml:space="preserve">J Pediatr Orthop. 2021.</t>
  </si>
  <si>
    <t xml:space="preserve">The Open Triradiate Cartilage: How Young Is Too Young for Total Hip Arthroplasty?</t>
  </si>
  <si>
    <t xml:space="preserve">25715878</t>
  </si>
  <si>
    <t xml:space="preserve">Acta Orthop. 2015.</t>
  </si>
  <si>
    <t xml:space="preserve">Increased risk of revision of cementless stemmed total hip arthroplasty with metal-on-metal bearings.</t>
  </si>
  <si>
    <t xml:space="preserve">27267795</t>
  </si>
  <si>
    <t xml:space="preserve">Bone Joint Res. 2016.</t>
  </si>
  <si>
    <t xml:space="preserve">Surrogate markers of long-term outcome in primary total hip arthroplasty: A systematic review.</t>
  </si>
  <si>
    <t xml:space="preserve">41027612</t>
  </si>
  <si>
    <t xml:space="preserve">The cumulative incidence of dislocation and revision surgery following total hip arthroplasty for hip fracture in New South Wales : a data linkage study.</t>
  </si>
  <si>
    <t xml:space="preserve">25560957</t>
  </si>
  <si>
    <t xml:space="preserve">Clin Orthop Relat Res. 2015.</t>
  </si>
  <si>
    <t xml:space="preserve">Metal-on-conventional polyethylene total hip arthroplasty bearing surfaces have a higher risk of revision than metal-on-highly crosslinked polyethylene: results from a US registry.</t>
  </si>
  <si>
    <t xml:space="preserve">26070775</t>
  </si>
  <si>
    <t xml:space="preserve">Are ceramic-on-ceramic bearings in total hip arthroplasty associated with reduced revision risk for late dislocation?</t>
  </si>
  <si>
    <t xml:space="preserve">28913402</t>
  </si>
  <si>
    <t xml:space="preserve">Arthroplast Today. 2016.</t>
  </si>
  <si>
    <t xml:space="preserve">Midterm analysis of the seleXys cup with ceramic inlay.</t>
  </si>
  <si>
    <t xml:space="preserve">30535590</t>
  </si>
  <si>
    <t xml:space="preserve">Eur J Orthop Surg Traumatol. 2019.</t>
  </si>
  <si>
    <t xml:space="preserve">Mid-term clinical results of the cementless R3 cup and Polarstem total hip arthroplasty.</t>
  </si>
  <si>
    <t xml:space="preserve">25081824</t>
  </si>
  <si>
    <t xml:space="preserve">Arch Orthop Trauma Surg. 2014.</t>
  </si>
  <si>
    <t xml:space="preserve">Failure modes for total ankle arthroplasty: a statistical analysis of the Norwegian Arthroplasty Register.</t>
  </si>
  <si>
    <t xml:space="preserve">40345264</t>
  </si>
  <si>
    <t xml:space="preserve">J Arthroplasty. 2025.</t>
  </si>
  <si>
    <t xml:space="preserve">Long-Term Outcomes of Total Hip Arthroplasty With Subtrochanteric Osteotomy for Crowe IV Dysplasia.</t>
  </si>
  <si>
    <t xml:space="preserve">28375671</t>
  </si>
  <si>
    <t xml:space="preserve">Acta Orthop. 2017.</t>
  </si>
  <si>
    <t xml:space="preserve">Outcome in design-specific comparisons between highly crosslinked and conventional polyethylene in total hip arthroplasty.</t>
  </si>
  <si>
    <t xml:space="preserve">28768777</t>
  </si>
  <si>
    <t xml:space="preserve">Bone Joint J. 2017.</t>
  </si>
  <si>
    <t xml:space="preserve">Ceramic-on-ceramic bearing fractures in total hip arthroplasty: an analysis of data from the National Joint Registry.</t>
  </si>
  <si>
    <t xml:space="preserve">32957355</t>
  </si>
  <si>
    <t xml:space="preserve">Medicine (Baltimore). 2020.</t>
  </si>
  <si>
    <t xml:space="preserve">The effect of previous acetabular fractures on total hip arthroplasty outcomes: A matched-controlled study protocol.</t>
  </si>
  <si>
    <t xml:space="preserve">38649064</t>
  </si>
  <si>
    <t xml:space="preserve">Ceramic-on-Ceramic Total Hip Arthroplasty Using a Double Tapered, Proximally Coated Stem: 15 to 24-year Clinical and Radiologic Follow-Up.</t>
  </si>
  <si>
    <t xml:space="preserve">29480891</t>
  </si>
  <si>
    <t xml:space="preserve">High Revision Rate for Large-head Metal-on-metal THA at a Mean of 7.1 Years: A Registry Study.</t>
  </si>
  <si>
    <t xml:space="preserve">35775174</t>
  </si>
  <si>
    <t xml:space="preserve">Bone Joint J. 2022.</t>
  </si>
  <si>
    <t xml:space="preserve">Modified acetabular component liner designs are not superior to standard liners at reducing the risk of revision : an analysis of 151,096 cementless total hip arthroplasties from the German Arthroplasty Registry.</t>
  </si>
  <si>
    <t xml:space="preserve">28606460</t>
  </si>
  <si>
    <t xml:space="preserve">Dual-Mobility vs Fixed-Bearing Total Hip Arthroplasty in Patients Under 55 Years of Age: A Single-Institution, Matched-Cohort Analysis.</t>
  </si>
  <si>
    <t xml:space="preserve">34718107</t>
  </si>
  <si>
    <t xml:space="preserve">Revision Risk in a Cohort of US Patients Younger Than 55 Undergoing Primary Elective Total Hip Arthroplasty.</t>
  </si>
  <si>
    <t xml:space="preserve">26201845</t>
  </si>
  <si>
    <t xml:space="preserve">Mixing of components from different manufacturers in total hip arthroplasty: prevalence and comparative outcomes.</t>
  </si>
  <si>
    <t xml:space="preserve">30165763</t>
  </si>
  <si>
    <t xml:space="preserve">Hip Int. 2018.</t>
  </si>
  <si>
    <t xml:space="preserve">Ceramic bearings for total hip arthroplasty are associated with a reduced risk of revision for infection.</t>
  </si>
  <si>
    <t xml:space="preserve">36445034</t>
  </si>
  <si>
    <t xml:space="preserve">Acta Orthop. 2022.</t>
  </si>
  <si>
    <t xml:space="preserve">No difference in implant survival between 28-mm M2a RingLoc metal-on-metal and metal-on-polyethylene total hip arthroplasty: results from the Finnish Arthroplasty Register.</t>
  </si>
  <si>
    <t xml:space="preserve">30637305</t>
  </si>
  <si>
    <t xml:space="preserve">Arch Bone Jt Surg. 2018.</t>
  </si>
  <si>
    <t xml:space="preserve">Total Hip Replacement Revision in a Single Brand Small Cementless Stem - Our Experience after the Findings of the National Joint Registry.</t>
  </si>
  <si>
    <t xml:space="preserve">28716026</t>
  </si>
  <si>
    <t xml:space="preserve">BMC Musculoskelet Disord. 2017.</t>
  </si>
  <si>
    <t xml:space="preserve">Short stem total hip arthroplasty for osteonecrosis of the femoral head in patients 60 years or younger: a 3- to 10-year follow-up study.</t>
  </si>
  <si>
    <t xml:space="preserve">37104550</t>
  </si>
  <si>
    <t xml:space="preserve">Clin Orthop Relat Res. 2023.</t>
  </si>
  <si>
    <t xml:space="preserve">What is the Role of Stem Size and Offset in the Risk of Nonseptic Revision of the Exeter 150-mm Stem? A Study From the Swedish Arthroplasty Register.</t>
  </si>
  <si>
    <t xml:space="preserve">25141843</t>
  </si>
  <si>
    <t xml:space="preserve">Metal artifact reduction sequence MRI abnormalities occur in metal-on-polyethylene hips.</t>
  </si>
  <si>
    <t xml:space="preserve">38284749</t>
  </si>
  <si>
    <t xml:space="preserve">Acta Orthop. 2024.</t>
  </si>
  <si>
    <t xml:space="preserve">Radiographic signs and hip pain 5 years after THA with a cemented stem predict future revision for aseptic loosening: a prospective cohort study.</t>
  </si>
  <si>
    <t xml:space="preserve">32600197</t>
  </si>
  <si>
    <t xml:space="preserve">Trends in the use of dual mobility bearings in hip arthroplasty.</t>
  </si>
  <si>
    <t xml:space="preserve">28845900</t>
  </si>
  <si>
    <t xml:space="preserve">J Orthop Res. 2018.</t>
  </si>
  <si>
    <t xml:space="preserve">Trends in hip replacements between 1999 and 2012 in Sweden.</t>
  </si>
  <si>
    <t xml:space="preserve">42442438</t>
  </si>
  <si>
    <t xml:space="preserve">J Arthroplasty. 2026.</t>
  </si>
  <si>
    <t xml:space="preserve">The Effect of Dual Mobility Articulations on Re-Revision After Revision for Dislocation.</t>
  </si>
  <si>
    <t xml:space="preserve">30560341</t>
  </si>
  <si>
    <t xml:space="preserve">Ir J Med Sci. 2019.</t>
  </si>
  <si>
    <t xml:space="preserve">Primary total hip arthroplasty: registry data for fixation methods and bearing options at a minimum of 10 years.</t>
  </si>
  <si>
    <t xml:space="preserve">32001977</t>
  </si>
  <si>
    <t xml:space="preserve">J Clin Orthop Trauma. 2020.</t>
  </si>
  <si>
    <t xml:space="preserve">Revision total hip arthroplasty for metal-on-metal failure.</t>
  </si>
  <si>
    <t xml:space="preserve">35994277</t>
  </si>
  <si>
    <t xml:space="preserve">No Reduction in Revision Risk Associated With Highly Cross-linked Polyethylene With or Without Antioxidants Over Conventional Polyetheylene in TKA: An Analysis From the American Joint Replacement Registry.</t>
  </si>
  <si>
    <t xml:space="preserve">30260863</t>
  </si>
  <si>
    <t xml:space="preserve">No Increase in Survival for 36-mm versus 32-mm Femoral Heads in Metal-on-polyethylene THA: A Registry Study.</t>
  </si>
  <si>
    <t xml:space="preserve">23140992</t>
  </si>
  <si>
    <t xml:space="preserve">J Arthroplasty. 2013.</t>
  </si>
  <si>
    <t xml:space="preserve">Large diameter metal on metal articulations. Comparison of total hip arthroplasty and hip resurfacing arthroplasty.</t>
  </si>
  <si>
    <t xml:space="preserve">33641423</t>
  </si>
  <si>
    <t xml:space="preserve">Bone Joint J. 2021.</t>
  </si>
  <si>
    <t xml:space="preserve">Does total hip arthroplasty have a higher risk of failure in patients who undergo lumbar spinal fusion?</t>
  </si>
  <si>
    <t xml:space="preserve">30601056</t>
  </si>
  <si>
    <t xml:space="preserve">Bone Joint J. 2019.</t>
  </si>
  <si>
    <t xml:space="preserve">The outcome and survival of metal-on-metal hip resurfacing in patients aged less than 50 years: a prospective observational cohort study with minimum ten-year follow-up.</t>
  </si>
  <si>
    <t xml:space="preserve">31888362</t>
  </si>
  <si>
    <t xml:space="preserve">Polyethylene manufacturing characteristics have a major effect on the risk of revision surgery in cementless and hybrid total hip arthroplasties.</t>
  </si>
  <si>
    <t xml:space="preserve">33692436</t>
  </si>
  <si>
    <t xml:space="preserve">Sci Rep. 2021.</t>
  </si>
  <si>
    <t xml:space="preserve">The reasons for ceramic-on-ceramic revisions between the third- and fourth-generation bearings in total hip arthroplasty from multicentric registry data.</t>
  </si>
  <si>
    <t xml:space="preserve">31340710</t>
  </si>
  <si>
    <t xml:space="preserve">Acta Orthop. 2019.</t>
  </si>
  <si>
    <t xml:space="preserve">Survival and revision causes of hip resurfacing arthroplasty and the Mitch proximal epiphyseal replacement: results from the Danish Hip Arthroplasty Register.</t>
  </si>
  <si>
    <t xml:space="preserve">34974763</t>
  </si>
  <si>
    <t xml:space="preserve">Hip Int. 2023.</t>
  </si>
  <si>
    <t xml:space="preserve">Higher risk of 2-year cup revision of ceramic-on-ceramic versus ceramic-on-polyethylene bearing: analysis of 33,454 primary press-fit total hip arthroplasties registered in the Dutch Arthroplasty Register (LROI).</t>
  </si>
  <si>
    <t xml:space="preserve">30303878</t>
  </si>
  <si>
    <t xml:space="preserve">What Is the Risk of Revision Surgery in Hydroxyapatite-coated Femoral Hip Stems? Findings From a Large National Registry.</t>
  </si>
  <si>
    <t xml:space="preserve">27999924</t>
  </si>
  <si>
    <t xml:space="preserve">Int Orthop. 2017.</t>
  </si>
  <si>
    <t xml:space="preserve">Low friction arthroplasty and dual mobility cup: a new gold standard.</t>
  </si>
  <si>
    <t xml:space="preserve">35264338</t>
  </si>
  <si>
    <t xml:space="preserve">BMJ Open. 2022.</t>
  </si>
  <si>
    <t xml:space="preserve">UK poSt Arthroplasty Follow-up rEcommendations (UK SAFE): what does analysis of linked, routinely collected national data sets tell us about mid-late term revision risk after hip replacement? Retrospective cohort study.</t>
  </si>
  <si>
    <t xml:space="preserve">25028106</t>
  </si>
  <si>
    <t xml:space="preserve">Revisions of monoblock metal-on-metal THAs have high early complication rates.</t>
  </si>
  <si>
    <t xml:space="preserve">35775180</t>
  </si>
  <si>
    <t xml:space="preserve">The association of surgical approach and bearing size and type with dislocation in total hip arthroplasty for acute hip fracture.</t>
  </si>
  <si>
    <t xml:space="preserve">30905637</t>
  </si>
  <si>
    <t xml:space="preserve">The Role of Crosslinked Polyethylene in Reducing Aggregated Costs of Total Hip Arthroplasty in the United States.</t>
  </si>
  <si>
    <t xml:space="preserve">30295530</t>
  </si>
  <si>
    <t xml:space="preserve">Bone Joint J. 2018.</t>
  </si>
  <si>
    <t xml:space="preserve">Temporal trends and survivorship of total hip arthroplasty in very young patients: a study using the National Joint Registry data set.</t>
  </si>
  <si>
    <t xml:space="preserve">33809212</t>
  </si>
  <si>
    <t xml:space="preserve">J Clin Med. 2021.</t>
  </si>
  <si>
    <t xml:space="preserve">Ceramic-on-Ceramic Bearing in Total Hip Arthroplasty Reduces the Risk for Revision for Periprosthetic Joint Infection Compared to Ceramic-on-Polyethylene: A Matched Analysis of 118,753 Cementless THA Based on the German Arthroplasty Registry.</t>
  </si>
  <si>
    <t xml:space="preserve">42703638</t>
  </si>
  <si>
    <t xml:space="preserve">Acta Orthop. 2026.</t>
  </si>
  <si>
    <t xml:space="preserve">Association of polyethylene type with revision and dislocation risk following primary total hip arthroplasty: a population-based cohort study from the Danish Hip Arthroplasty Register.</t>
  </si>
  <si>
    <t xml:space="preserve">25085361</t>
  </si>
  <si>
    <t xml:space="preserve">What are the predictors and prevalence of pseudotumor and elevated metal ions after large-diameter metal-on-metal THA?</t>
  </si>
  <si>
    <t xml:space="preserve">35149169</t>
  </si>
  <si>
    <t xml:space="preserve">Revision Risk of Total Hip Arthroplasty With Vitamin E Doped Liners: Results From the Danish Hip Arthroplasty Register.</t>
  </si>
  <si>
    <t xml:space="preserve">Already in dataset (Kjaergaard et al.)</t>
  </si>
  <si>
    <t xml:space="preserve">37848303</t>
  </si>
  <si>
    <t xml:space="preserve">BMJ Open. 2023.</t>
  </si>
  <si>
    <t xml:space="preserve">Epidemiology of revision hip replacement surgery in the UK over the past 15 years-an analysis from the National Joint Registry.</t>
  </si>
  <si>
    <t xml:space="preserve">37741984</t>
  </si>
  <si>
    <t xml:space="preserve">J Orthop Surg Res. 2023.</t>
  </si>
  <si>
    <t xml:space="preserve">Long-term clinical outcomes of the Biomet M2a-38: a retrospective review of 335 total hip arthroplasty cases.</t>
  </si>
  <si>
    <t xml:space="preserve">33123668</t>
  </si>
  <si>
    <t xml:space="preserve">JB JS Open Access. 2020.</t>
  </si>
  <si>
    <t xml:space="preserve">Effect of Bearing Surface on Survival of Cementless and Hybrid Total Hip Arthroplasty: Study of Data in the National Joint Registry for England, Wales, Northern Ireland and the Isle of Man.</t>
  </si>
  <si>
    <t xml:space="preserve">25637339</t>
  </si>
  <si>
    <t xml:space="preserve">Comparison of the risk of revision in cementless total hip arthroplasty with ceramic-on-ceramic and metal-on-polyethylene bearings.</t>
  </si>
  <si>
    <t xml:space="preserve">25633758</t>
  </si>
  <si>
    <t xml:space="preserve">Hip Int. 2015.</t>
  </si>
  <si>
    <t xml:space="preserve">Finding the right hip implant for patient and surgeon: the Dutch strategy--empowering patients.</t>
  </si>
  <si>
    <t xml:space="preserve">36984020</t>
  </si>
  <si>
    <t xml:space="preserve">Materials (Basel). 2023.</t>
  </si>
  <si>
    <t xml:space="preserve">Ultra-High-Molecular-Weight Polyethylene in Hip and Knee Arthroplasties.</t>
  </si>
  <si>
    <t xml:space="preserve">29192727</t>
  </si>
  <si>
    <t xml:space="preserve">Which is the best bearing surface for primary total hip replacement? A New Zealand Joint Registry study.</t>
  </si>
  <si>
    <t xml:space="preserve">29529658</t>
  </si>
  <si>
    <t xml:space="preserve">Otto Aufranc Award: Dual-mobility Constructs in Revision THA Reduced Dislocation, Rerevision, and Reoperation Compared With Large Femoral Heads.</t>
  </si>
  <si>
    <t xml:space="preserve">34862038</t>
  </si>
  <si>
    <t xml:space="preserve">Injury. 2022.</t>
  </si>
  <si>
    <t xml:space="preserve">Dual mobility cups do not reduce the revision risk for patients with acute femoral neck fracture: A matched cohort study from the Swedish Arthroplasty Register.</t>
  </si>
  <si>
    <t xml:space="preserve">34699913</t>
  </si>
  <si>
    <t xml:space="preserve">Revision for Aseptic Loosening of Highly Porous Acetabular Components in Primary Total Hip Arthroplasty: An Analysis of 20,993 Total Hip Replacements.</t>
  </si>
  <si>
    <t xml:space="preserve">31714411</t>
  </si>
  <si>
    <t xml:space="preserve">Clin Orthop Relat Res. 2020.</t>
  </si>
  <si>
    <t xml:space="preserve">Are Lipped Polyethylene Liners Associated with Increased Revision Rates in Patients with Uncemented Acetabular Components? An Observational Cohort Study.</t>
  </si>
  <si>
    <t xml:space="preserve">30711371</t>
  </si>
  <si>
    <t xml:space="preserve">Early Results From the American Joint Replacement Registry: A Comparison With Other National Registries.</t>
  </si>
  <si>
    <t xml:space="preserve">26493972</t>
  </si>
  <si>
    <t xml:space="preserve">J Am Acad Orthop Surg. 2015.</t>
  </si>
  <si>
    <t xml:space="preserve">Metal-on-Metal Total Hip Arthroplasty: Patient Evaluation and Treatment.</t>
  </si>
  <si>
    <t xml:space="preserve">27385222</t>
  </si>
  <si>
    <t xml:space="preserve">Clin Orthop Relat Res. 2017.</t>
  </si>
  <si>
    <t xml:space="preserve">Is There a Difference in Revision Risk Between Metal and Ceramic Heads on Highly Crosslinked Polyethylene Liners?</t>
  </si>
  <si>
    <t xml:space="preserve">30791929</t>
  </si>
  <si>
    <t xml:space="preserve">J Orthop Surg Res. 2019.</t>
  </si>
  <si>
    <t xml:space="preserve">Evaluation of the effectiveness of hip and knee implant models used in Catalonia: a protocol for a prospective registry-based study.</t>
  </si>
  <si>
    <t xml:space="preserve">37230227</t>
  </si>
  <si>
    <t xml:space="preserve">Dual Mobility Articulation in Revision Total Hip Arthroplasty: An American Joint Replacement Registry Analysis of Patients Aged 65 Years and Older.</t>
  </si>
  <si>
    <t xml:space="preserve">39496883</t>
  </si>
  <si>
    <t xml:space="preserve">The role of femoral head size in metal-on-metal hip arthroplasty: analysis of a cohort of 3813 patients with long term follow-up.</t>
  </si>
  <si>
    <t xml:space="preserve">22608689</t>
  </si>
  <si>
    <t xml:space="preserve">J Arthroplasty. 2012.</t>
  </si>
  <si>
    <t xml:space="preserve">Comparative effectiveness of metal-on-metal and metal-on-polyethylene bearings in Medicare total hip arthroplasty patients.</t>
  </si>
  <si>
    <t xml:space="preserve">35775170</t>
  </si>
  <si>
    <t xml:space="preserve">Modular dual-mobility articulations in patients with adverse spinopelvic mobility.</t>
  </si>
  <si>
    <t xml:space="preserve">39509352</t>
  </si>
  <si>
    <t xml:space="preserve">PLoS Med. 2024.</t>
  </si>
  <si>
    <t xml:space="preserve">The association of bearing surface materials with the risk of revision following primary total hip replacement: A cohort analysis of 1,026,481 hip replacements from the National Joint Registry.</t>
  </si>
  <si>
    <t xml:space="preserve">Already in dataset (Whitehouse et al.)</t>
  </si>
  <si>
    <t xml:space="preserve">40588243</t>
  </si>
  <si>
    <t xml:space="preserve">Metal-on-metal hip resurfacing compared with contemporary total hip arthroplasty : an analysis of National Joint Registry data.</t>
  </si>
  <si>
    <t xml:space="preserve">32285736</t>
  </si>
  <si>
    <t xml:space="preserve">Acta Orthop. 2020.</t>
  </si>
  <si>
    <t xml:space="preserve">Is there a reduction in risk of revision when 36-mm heads instead of 32 mm are used in total hip arthroplasty for patients with proximal femur fractures?</t>
  </si>
  <si>
    <t xml:space="preserve">41575536</t>
  </si>
  <si>
    <t xml:space="preserve">Association of antioxidant-added highly cross-linked polyethylene on revision risk: a registry-based study of 198,073 total hip replacements from the Australian Orthopaedic Association National Joint Replacement Registry between 2014 and 2023.</t>
  </si>
  <si>
    <t xml:space="preserve">Already in dataset (Lewis et al.)</t>
  </si>
  <si>
    <t xml:space="preserve">23420484</t>
  </si>
  <si>
    <t xml:space="preserve">JAMA Intern Med. 2013.</t>
  </si>
  <si>
    <t xml:space="preserve">Sex and risk of hip implant failure: assessing total hip arthroplasty outcomes in the United States.</t>
  </si>
  <si>
    <t xml:space="preserve">31725123</t>
  </si>
  <si>
    <t xml:space="preserve">Conventional Versus Highly Cross-Linked Polyethylene in Primary Total Knee Replacement: A Comparison of Revision Rates Using Data from the National Joint Registry for England, Wales, and Northern Ireland.</t>
  </si>
  <si>
    <t xml:space="preserve">34030496</t>
  </si>
  <si>
    <t xml:space="preserve">The ethylene oxide sterilised Opera acetabular component demonstrates high rates of loosening and revision compared to the gamma irradiated Ogee cup: a cohort study demonstrating potential shortcomings of revision-based registry data.</t>
  </si>
  <si>
    <t xml:space="preserve">37907694</t>
  </si>
  <si>
    <t xml:space="preserve">Int Orthop. 2024.</t>
  </si>
  <si>
    <t xml:space="preserve">The use of dual mobility cups in revision total hip arthroplasty for failed large head metal-on-metal bearings.</t>
  </si>
  <si>
    <t xml:space="preserve">35658905</t>
  </si>
  <si>
    <t xml:space="preserve">J Orthop Surg Res. 2022.</t>
  </si>
  <si>
    <t xml:space="preserve">A case-driven hypothesis for multi-stage crack growth mechanism in fourth-generation ceramic head fracture.</t>
  </si>
  <si>
    <t xml:space="preserve">38042378</t>
  </si>
  <si>
    <t xml:space="preserve">Can Dual Mobility Cups Reduce Revision and Dislocation Risks? An Analysis of 107,528 Primary Total Hip Arthroplasties in the United States.</t>
  </si>
  <si>
    <t xml:space="preserve">28072898</t>
  </si>
  <si>
    <t xml:space="preserve">Surg Technol Int. 2017.</t>
  </si>
  <si>
    <t xml:space="preserve">Three-Year Results with a Ringless Third-Generation Porous Plasma Sprayed Acetabular Component in Primary Total Hip Arthroplasty.</t>
  </si>
  <si>
    <t xml:space="preserve">40835012</t>
  </si>
  <si>
    <t xml:space="preserve">Does a 36-mm Head Increase Cumulative Revision Rate in Total Hip Arthroplasty When Compared to a 32-mm Head? A Study From the Australian Orthopaedic Association National Joint Replacement Registry.</t>
  </si>
  <si>
    <t xml:space="preserve">34465151</t>
  </si>
  <si>
    <t xml:space="preserve">Using an asymmetric crosslinked polyethylene liner in primary total hip arthroplasty is associated with a lower risk of revision surgery : an analysis of the National Joint Registry.</t>
  </si>
  <si>
    <t xml:space="preserve">28091739</t>
  </si>
  <si>
    <t xml:space="preserve">Arch Orthop Trauma Surg. 2017.</t>
  </si>
  <si>
    <t xml:space="preserve">Survival of uncemented cups from a single manufacturer implanted from 1985 to 2013: Finnish Arthroplasty Register data.</t>
  </si>
  <si>
    <t xml:space="preserve">34847718</t>
  </si>
  <si>
    <t xml:space="preserve">The effect of uncemented acetabular liner geometry and lip size on the risk of revision for instability or loosening : a study on 202,511 primary hip arthroplasties from the National Joint Registry.</t>
  </si>
  <si>
    <t xml:space="preserve">35980886</t>
  </si>
  <si>
    <t xml:space="preserve">What Is the Outcome of the First Revision Procedure of Primary THA for Osteoarthritis? A Study From the Australian Orthopaedic Association National Joint Replacement Registry.</t>
  </si>
  <si>
    <t xml:space="preserve">41288773</t>
  </si>
  <si>
    <t xml:space="preserve">Arch Orthop Trauma Surg. 2025.</t>
  </si>
  <si>
    <t xml:space="preserve">Revision arthroplasty versus open reduction and internal fixation in Vancouver type B2 and B3 periprosthetic femoral fractures: results from a matched pairs analysis of the registry for geriatric trauma of the DGU( ).</t>
  </si>
  <si>
    <t xml:space="preserve">32604382</t>
  </si>
  <si>
    <t xml:space="preserve">Risk Factors for Revision of Polished Taper-Slip Cemented Stems for Periprosthetic Femoral Fracture After Primary Total Hip Replacement: A Registry-Based Cohort Study from the National Joint Registry for England, Wales, Northern Ireland and the Isle of Man.</t>
  </si>
  <si>
    <t xml:space="preserve">32057597</t>
  </si>
  <si>
    <t xml:space="preserve">J Arthroplasty. 2020.</t>
  </si>
  <si>
    <t xml:space="preserve">A Comparison of Risk of Dislocation and Cause-Specific Revision Between Direct Anterior and Posterior Approach Following Elective Cementless Total Hip Arthroplasty.</t>
  </si>
  <si>
    <t xml:space="preserve">27249955</t>
  </si>
  <si>
    <t xml:space="preserve">Clin Orthop Relat Res. 2016.</t>
  </si>
  <si>
    <t xml:space="preserve">Periprosthetic Joint Infection in Hip Arthroplasty: Is There an Association Between Infection and Bearing Surface Type?</t>
  </si>
  <si>
    <t xml:space="preserve">26733633</t>
  </si>
  <si>
    <t xml:space="preserve">Bone Joint J. 2016.</t>
  </si>
  <si>
    <t xml:space="preserve">Hip resurfacing: a large, US single-surgeon series.</t>
  </si>
  <si>
    <t xml:space="preserve">31142296</t>
  </si>
  <si>
    <t xml:space="preserve">BMC Musculoskelet Disord. 2019.</t>
  </si>
  <si>
    <t xml:space="preserve">Fourth-generation ceramic-on-ceramic THA results in improvements in midterm outcomes compared to third-generation THA but does not resolve noise problems: a cohort study of a single-hip system.</t>
  </si>
  <si>
    <t xml:space="preserve">34592358</t>
  </si>
  <si>
    <t xml:space="preserve">Cemented Polished Tapered Stems Have Lower Revision Rates Than Commonly Used Cementless Implant up to 17 Years of Follow-Up: An Analysis of 201,889 Total Hip Replacements From the Australian Orthopedic Association National Joint Replacement Registry.</t>
  </si>
  <si>
    <t xml:space="preserve">42617926</t>
  </si>
  <si>
    <t xml:space="preserve">10-Year Follow-Up Outcomes of a Modular Dual-Mobility in Primary Total Hip Arthroplasty.</t>
  </si>
  <si>
    <t xml:space="preserve">39515398</t>
  </si>
  <si>
    <t xml:space="preserve">Dual-Mobility Articulations in Primary Total Hip Arthroplasty: Mid-Term Outcomes From the American Joint Replacement Registry.</t>
  </si>
  <si>
    <t xml:space="preserve">29598886</t>
  </si>
  <si>
    <t xml:space="preserve">Health Policy. 2018.</t>
  </si>
  <si>
    <t xml:space="preserve">Mapping existing hip and knee replacement registries in Europe.</t>
  </si>
  <si>
    <t xml:space="preserve">36769537</t>
  </si>
  <si>
    <t xml:space="preserve">J Clin Med. 2023.</t>
  </si>
  <si>
    <t xml:space="preserve">Metal-on-Metal Hips: Ten-Year Clinical and Radiographic Outcomes of the ADEPT Metal-on-Metal Hip Resurfacing and Modular Total Hip Arthroplasty.</t>
  </si>
  <si>
    <t xml:space="preserve">36725766</t>
  </si>
  <si>
    <t xml:space="preserve">J Orthop Traumatol. 2023.</t>
  </si>
  <si>
    <t xml:space="preserve">Comparison of single taper and dual taper versions of the same stem design in total hip arthroplasty for primary osteoarthritis.</t>
  </si>
  <si>
    <t xml:space="preserve">37932243</t>
  </si>
  <si>
    <t xml:space="preserve">Hip Int. 2024.</t>
  </si>
  <si>
    <t xml:space="preserve">Increasing femoral head size from 32 mm to 36 mm does not increase the revision risk for total hip replacement: a New Zealand joint registry study.</t>
  </si>
  <si>
    <t xml:space="preserve">37291896</t>
  </si>
  <si>
    <t xml:space="preserve">Acta Orthop. 2023.</t>
  </si>
  <si>
    <t xml:space="preserve">Does choice of bearings influence the survival of cementless total hip arthroplasty in patients aged 20-55 years? Comparison of 21,594 patients reported to the Nordic Arthroplasty Register Association dataset 2005-2017.</t>
  </si>
  <si>
    <t xml:space="preserve">Already in dataset (Mikkelsen et al.)</t>
  </si>
  <si>
    <t xml:space="preserve">25520417</t>
  </si>
  <si>
    <t xml:space="preserve">J Bone Joint Surg Am. 2014.</t>
  </si>
  <si>
    <t xml:space="preserve">Comparative effectiveness of ceramic-on-ceramic implants in stemmed hip replacement: a multinational study of six national and regional registries.</t>
  </si>
  <si>
    <t xml:space="preserve">39029794</t>
  </si>
  <si>
    <t xml:space="preserve">Orthop Traumatol Surg Res. 2024.</t>
  </si>
  <si>
    <t xml:space="preserve">Conversion of hip resurfacing to total hip arthroplasty: is the outcome closer to primary or revision total hip arthroplasty?</t>
  </si>
  <si>
    <t xml:space="preserve">28623650</t>
  </si>
  <si>
    <t xml:space="preserve">Hip Int. 2017.</t>
  </si>
  <si>
    <t xml:space="preserve">The incidence of dissociated liners in 4,751 consecutive total hip arthroplasties using Pinnacle polyethylene acetabular liners.</t>
  </si>
  <si>
    <t xml:space="preserve">39278401</t>
  </si>
  <si>
    <t xml:space="preserve">Orthop Traumatol Surg Res. 2025.</t>
  </si>
  <si>
    <t xml:space="preserve">What does the SOFCOT-RENACOT 2024 hip prosthesis register tell us?</t>
  </si>
  <si>
    <t xml:space="preserve">27130159</t>
  </si>
  <si>
    <t xml:space="preserve">BMJ Open. 2016.</t>
  </si>
  <si>
    <t xml:space="preserve">Retrospective cohort study of the performance of the Pinnacle metal on metal (MoM) total hip replacement: a single-centre investigation in combination with the findings of a national retrieval centre.</t>
  </si>
  <si>
    <t xml:space="preserve">34238620</t>
  </si>
  <si>
    <t xml:space="preserve">Ceramic Bearings Are Associated With a Significantly Reduced Revision Rate in Primary Hip Arthroplasty: An Analysis From the National Joint Registry for England, Wales, Northern Ireland, and the Isle of Man.</t>
  </si>
  <si>
    <t xml:space="preserve">33005395</t>
  </si>
  <si>
    <t xml:space="preserve">Bone Joint Res. 2020.</t>
  </si>
  <si>
    <t xml:space="preserve">A higher degree of polyethylene irradiation is associated with a reduced risk of revision for aseptic loosening in total hip arthroplasties using cemented acetabular components: an analysis of 290,770 cases from the National Joint Registry of England, Wales, Northern Island and the Isle of Man.</t>
  </si>
  <si>
    <t xml:space="preserve">34719277</t>
  </si>
  <si>
    <t xml:space="preserve">The effect of cemented acetabular component geometry on the risk of revision for instability or loosening : a study of 224,874 primary hip arthroplasties from the National Joint Registry.</t>
  </si>
  <si>
    <t xml:space="preserve">34196592</t>
  </si>
  <si>
    <t xml:space="preserve">Acta Orthop. 2021.</t>
  </si>
  <si>
    <t xml:space="preserve">Risk factors for prosthetic joint infections following total hip arthroplasty based on 33,337 hips in the Finnish Arthroplasty Register from 2014 to 2018.</t>
  </si>
  <si>
    <t xml:space="preserve">25520414</t>
  </si>
  <si>
    <t xml:space="preserve">Effect of femoral head size on metal-on-HXLPE hip arthroplasty outcome in a combined analysis of six national and regional registries.</t>
  </si>
  <si>
    <t xml:space="preserve">32584216</t>
  </si>
  <si>
    <t xml:space="preserve">J Surg Orthop Adv. 2020.</t>
  </si>
  <si>
    <t xml:space="preserve">Isolated RingLoc Polyethylene Liner Revision for Treatment of Liner Wear.</t>
  </si>
  <si>
    <t xml:space="preserve">34088570</t>
  </si>
  <si>
    <t xml:space="preserve">A Comparison of Revision Rates for Dislocation and Aseptic Causes Between Dual Mobility and Large Femoral Head Bearings in Primary Total Hip Arthroplasty With Subanalysis by Acetabular Component Size: An Analysis of 106,163 Primary Total Hip Arthroplasties.</t>
  </si>
  <si>
    <t xml:space="preserve">31787355</t>
  </si>
  <si>
    <t xml:space="preserve">The Effect of Size for a Hydroxyapatite-Coated Cementless Implant on Component Revision in Total Hip Arthroplasty: An Analysis of 41,265 Stems.</t>
  </si>
  <si>
    <t xml:space="preserve">32345846</t>
  </si>
  <si>
    <t xml:space="preserve">What Is the Risk of THA Revision for ARMD in Patients with Non-metal-on-metal Bearings? A Study from the Australian National Joint Replacement Registry.</t>
  </si>
  <si>
    <t xml:space="preserve">41204338</t>
  </si>
  <si>
    <t xml:space="preserve">J Orthop Surg Res. 2025.</t>
  </si>
  <si>
    <t xml:space="preserve">Outcomes of metal-on-metal hip resurfacing arthroplasty: a single-surgeon series of 6114 cases with 2-19 year follow-up.</t>
  </si>
  <si>
    <t xml:space="preserve">37633510</t>
  </si>
  <si>
    <t xml:space="preserve">Increased Rates of Late Periprosthetic Fractures in Larger Hydroxyapatite-Coated Cementless Stems: Are Collared Stems a Better Alternative for Total Hip Arthroplasty?</t>
  </si>
  <si>
    <t xml:space="preserve">29406339</t>
  </si>
  <si>
    <t xml:space="preserve">Implications of Introducing New Technology: Comparative Survivorship Modeling of Metal-on-Metal Hip Replacements and Contemporary Alternatives in the National Joint Registry.</t>
  </si>
  <si>
    <t xml:space="preserve">34677162</t>
  </si>
  <si>
    <t xml:space="preserve">What Can We Learn From Surgeons Who Perform THA and TKA and Have the Lowest Revision Rates? A Study from the Australian Orthopaedic Association National Joint Replacement Registry.</t>
  </si>
  <si>
    <t xml:space="preserve">29097396</t>
  </si>
  <si>
    <t xml:space="preserve">BMJ. 2017.</t>
  </si>
  <si>
    <t xml:space="preserve">Choice of implant combinations in total hip replacement: systematic review and network meta-analysis.</t>
  </si>
  <si>
    <t xml:space="preserve">31438921</t>
  </si>
  <si>
    <t xml:space="preserve">The risk of revision after total hip arthroplasty in young patients depends on surgical approach, femoral head size and bearing type; an analysis of 19,682 operations in the Dutch arthroplasty register.</t>
  </si>
  <si>
    <t xml:space="preserve">24205767</t>
  </si>
  <si>
    <t xml:space="preserve">Acta Orthop Belg. 2013.</t>
  </si>
  <si>
    <t xml:space="preserve">Midterm results with Birmingham Hip Resurfacing/Synergy stem modular metal-on-metal total hip arthroplasty.</t>
  </si>
  <si>
    <t xml:space="preserve">33167730</t>
  </si>
  <si>
    <t xml:space="preserve">Hip Int. 2022.</t>
  </si>
  <si>
    <t xml:space="preserve">Safety of vitamin E-infused highwall liners for routine use in primary total hip arthroplasty: single centre, short-term follow-up of 1221 cases.</t>
  </si>
  <si>
    <t xml:space="preserve">39265814</t>
  </si>
  <si>
    <t xml:space="preserve">Why Are Contemporary Primary Ceramic-on-Highly Crosslinked Polyethylene Total Hip Arthroplasties Failing? An Analysis of Over 5,500 Cases.</t>
  </si>
  <si>
    <t xml:space="preserve">40979148</t>
  </si>
  <si>
    <t xml:space="preserve">World J Orthop. 2025.</t>
  </si>
  <si>
    <t xml:space="preserve">Short-term survivorship of antioxidant highly cross-linked polyethylene liners in total hip arthroplasty reported in American Joint Replacement Registry.</t>
  </si>
  <si>
    <t xml:space="preserve">32348085</t>
  </si>
  <si>
    <t xml:space="preserve">What Is the Frequency of Fracture of Ceramic Components in THA? Results from the Norwegian Arthroplasty Register from 1997 to 2017.</t>
  </si>
  <si>
    <t xml:space="preserve">36805114</t>
  </si>
  <si>
    <t xml:space="preserve">Femoral Head Length Impact on Outcomes Following Total Hip Arthroplasty in 36 Millimeter Cobalt Chrome-on-Highly Crosslinked Polyethylene Articulations.</t>
  </si>
  <si>
    <t xml:space="preserve">28566395</t>
  </si>
  <si>
    <t xml:space="preserve">The use of femoral stems with exchangeable necks in primary total hip arthroplasty increases the rate of revision.</t>
  </si>
  <si>
    <t xml:space="preserve">31312523</t>
  </si>
  <si>
    <t xml:space="preserve">EFORT Open Rev. 2019.</t>
  </si>
  <si>
    <t xml:space="preserve">The benefits of collaboration: the Nordic Arthroplasty Register Association.</t>
  </si>
  <si>
    <t xml:space="preserve">22644422</t>
  </si>
  <si>
    <t xml:space="preserve">Clin Orthop Relat Res. 2012.</t>
  </si>
  <si>
    <t xml:space="preserve">Head material influences survival of a cemented total hip prosthesis in the Norwegian Arthroplasty Register.</t>
  </si>
  <si>
    <t xml:space="preserve">31318807</t>
  </si>
  <si>
    <t xml:space="preserve">Reduced Revision Risk for Dual-Mobility Cup in Total Hip Replacement Due to Hip Fracture: A Matched-Pair Analysis of 9,040 Cases from the Nordic Arthroplasty Register Association (NARA).</t>
  </si>
  <si>
    <t xml:space="preserve">28768778</t>
  </si>
  <si>
    <t xml:space="preserve">Which factors influence the rate of failure following metal-on-metal hip arthroplasty revision surgery performed for adverse reactions to metal debris? an analysis from the National Joint Registry for England and Wales.</t>
  </si>
  <si>
    <t xml:space="preserve">29305448</t>
  </si>
  <si>
    <t xml:space="preserve">Is the rate of revision of 36 mm metal-on-metal total hip arthroplasties with Pinnacle acetabular components related to the year of the initial operation? an interrupted time-series analysis using data from the National Joint Registry for England and Wales.</t>
  </si>
  <si>
    <t xml:space="preserve">30653047</t>
  </si>
  <si>
    <t xml:space="preserve">Dual Mobility Cups: Effect on Risk of Revision of Primary Total Hip Arthroplasty Due to Osteoarthritis: A Matched Population-Based Study Using the Nordic Arthroplasty Register Association Database.</t>
  </si>
  <si>
    <t xml:space="preserve">30099642</t>
  </si>
  <si>
    <t xml:space="preserve">The influence of bearing surfaces on periprosthetic hip infections: analysis of thirty nine thousand, two hundred and six cementless total hip arthroplasties.</t>
  </si>
  <si>
    <t xml:space="preserve">40164183</t>
  </si>
  <si>
    <t xml:space="preserve">Contemporary results of total femoral arthroplasties for non-oncological conditions.</t>
  </si>
  <si>
    <t xml:space="preserve">31301914</t>
  </si>
  <si>
    <t xml:space="preserve">Hybrid Fixation for Total Hip Arthroplasty Showed Improved Survival Over Cemented and Uncemented Fixation: A Single-Center Survival Analysis of 2156 Hips at 12-18 Years.</t>
  </si>
  <si>
    <t xml:space="preserve">40257587</t>
  </si>
  <si>
    <t xml:space="preserve">Int Orthop. 2025.</t>
  </si>
  <si>
    <t xml:space="preserve">Isolated acetabular cup revision in Metal-on-Metal total hip arthroplasty: a low-complication strategy feasible in only half of cases.</t>
  </si>
  <si>
    <t xml:space="preserve">23813156</t>
  </si>
  <si>
    <t xml:space="preserve">Hip Int. 2013.</t>
  </si>
  <si>
    <t xml:space="preserve">Revision hip arthroplasty with an extensively porous-coated stem - excellent long-term results also in severe femoral bone stock loss.</t>
  </si>
  <si>
    <t xml:space="preserve">34521567</t>
  </si>
  <si>
    <t xml:space="preserve">Stainless Steel Femoral Heads Reduce Rate of Revision When Compared to Ion-Implanted Chromium-Cobalt Heads With a Single Cemented Femoral Design: An Analysis of 40,468 Total Hip Replacements From the Australian Orthopedic Association National Joint Replacement Registry.</t>
  </si>
  <si>
    <t xml:space="preserve">22383319</t>
  </si>
  <si>
    <t xml:space="preserve">Hip Int. 2012.</t>
  </si>
  <si>
    <t xml:space="preserve">Superior 11-year survival but higher polyethylene wear of hydroxyapatite-coated Mallory-Head cups.</t>
  </si>
  <si>
    <t xml:space="preserve">33517823</t>
  </si>
  <si>
    <t xml:space="preserve">Implant survival of 2,723 vitamin E-infused highly crosslinked polyethylene liners in total hip arthroplasty: data from the Finnish Arthroplasty Register.</t>
  </si>
  <si>
    <t xml:space="preserve">Already in dataset (Hemmila et al.)</t>
  </si>
  <si>
    <t xml:space="preserve">33478320</t>
  </si>
  <si>
    <t xml:space="preserve">Population-based 10-year cumulative revision risks after hip and knee arthroplasty for osteoarthritis to inform patients in clinical practice: a competing risk analysis from the Dutch Arthroplasty Register.</t>
  </si>
  <si>
    <t xml:space="preserve">33068147</t>
  </si>
  <si>
    <t xml:space="preserve">Int Orthop. 2020.</t>
  </si>
  <si>
    <t xml:space="preserve">The early- to medium-term results of a hemispherical, porous coated acetabular shell with multiple different bearing combinations are excellent with the exception of metal-on-metal.</t>
  </si>
  <si>
    <t xml:space="preserve">32750091</t>
  </si>
  <si>
    <t xml:space="preserve">PLoS One. 2020.</t>
  </si>
  <si>
    <t xml:space="preserve">Dynamic early identification of hip replacement implants with high revision rates. Study based on the NJR data from UK during 2004-2012.</t>
  </si>
  <si>
    <t xml:space="preserve">30056097</t>
  </si>
  <si>
    <t xml:space="preserve">Lancet Infect Dis. 2018.</t>
  </si>
  <si>
    <t xml:space="preserve">Risk factors associated with revision for prosthetic joint infection after hip replacement: a prospective observational cohort study.</t>
  </si>
  <si>
    <t xml:space="preserve">30765230</t>
  </si>
  <si>
    <t xml:space="preserve">The Lawrence D. Dorr Surgical Techniques &amp; Technologies Award: Why Are Contemporary Revision Total Hip Arthroplasties Failing? An Analysis of 2500 Cases.</t>
  </si>
  <si>
    <t xml:space="preserve">41460256</t>
  </si>
  <si>
    <t xml:space="preserve">Clin Orthop Relat Res. 2026.</t>
  </si>
  <si>
    <t xml:space="preserve">Benchmarking THA Implant Combinations Using Data From a US Total Joint Replacement Registry.</t>
  </si>
  <si>
    <t xml:space="preserve">29399002</t>
  </si>
  <si>
    <t xml:space="preserve">HSS J. 2018.</t>
  </si>
  <si>
    <t xml:space="preserve">The Infection Rate of Metal-on-Metal Total Hip Replacement Is Higher When Compared to Other Bearing Surfaces as Documented by the Australian Orthopaedic Association National Joint Replacement Registry.</t>
  </si>
  <si>
    <t xml:space="preserve">31210979</t>
  </si>
  <si>
    <t xml:space="preserve">MoM total hip replacements in Europe: a NORE report.</t>
  </si>
  <si>
    <t xml:space="preserve">25901628</t>
  </si>
  <si>
    <t xml:space="preserve">Orthopedics. 2015.</t>
  </si>
  <si>
    <t xml:space="preserve">Ceramic-on-ceramic versus ceramic-on-polyethylene bearing surfaces in total hip arthroplasty.</t>
  </si>
  <si>
    <t xml:space="preserve">21248215</t>
  </si>
  <si>
    <t xml:space="preserve">J Bone Joint Surg Am. 2011.</t>
  </si>
  <si>
    <t xml:space="preserve">Cemented versus cementless total hip replacements in patients fifty-five years of age or older with rheumatoid arthritis.</t>
  </si>
  <si>
    <t xml:space="preserve">21102199</t>
  </si>
  <si>
    <t xml:space="preserve">J Pediatr Orthop. 2010.</t>
  </si>
  <si>
    <t xml:space="preserve">Avascular necrosis most common indication for hip arthroplasty in patients with slipped capital femoral epiphysis.</t>
  </si>
  <si>
    <t xml:space="preserve">32898048</t>
  </si>
  <si>
    <t xml:space="preserve">Is the Survivorship of Birmingham Hip Resurfacing Better Than Selected Conventional Hip Arthroplasties in Men Younger Than 65 Years of Age? A Study from the Australian Orthopaedic Association National Joint Replacement Registry.</t>
  </si>
  <si>
    <t xml:space="preserve">26723860</t>
  </si>
  <si>
    <t xml:space="preserve">Stem Migration and Fretting Corrosion of the Antirotation Pin in the K2/Apex Hip System.</t>
  </si>
  <si>
    <t xml:space="preserve">36928594</t>
  </si>
  <si>
    <t xml:space="preserve">Ir J Med Sci. 2023.</t>
  </si>
  <si>
    <t xml:space="preserve">International primary hip arthroplasty registry review: findings from current reports.</t>
  </si>
  <si>
    <t xml:space="preserve">40419184</t>
  </si>
  <si>
    <t xml:space="preserve">Value Health. 2025.</t>
  </si>
  <si>
    <t xml:space="preserve">Costs and Outcomes After Primary and Revision Hip Replacements by Implant Bearing Materials: Analysis of 550 760 linked Patient Records from English Routinely Collected Databases.</t>
  </si>
  <si>
    <t xml:space="preserve">35438033</t>
  </si>
  <si>
    <t xml:space="preserve">The 45-year evolution of the Mathys RM monoblock cups: have the paradigm shifts been worthwhile?</t>
  </si>
  <si>
    <t xml:space="preserve">41928745</t>
  </si>
  <si>
    <t xml:space="preserve">Acta Orthop Belg. 2025.</t>
  </si>
  <si>
    <t xml:space="preserve">Elective total hip arthroplasty stratified by surgical approach: how does the risk of dislocation relate to bearing size, type, and implant fixation?</t>
  </si>
  <si>
    <t xml:space="preserve">22994935</t>
  </si>
  <si>
    <t xml:space="preserve">BMC Musculoskelet Disord. 2012.</t>
  </si>
  <si>
    <t xml:space="preserve">Wear, bone density, functional outcome and survival in vitamin E-incorporated polyethylene cups in reversed hybrid total hip arthroplasty: design of a randomized controlled trial.</t>
  </si>
  <si>
    <t xml:space="preserve">25721576</t>
  </si>
  <si>
    <t xml:space="preserve">What Is the Rerevision Rate After Revising a Hip Resurfacing Arthroplasty? Analysis From the AOANJRR.</t>
  </si>
  <si>
    <t xml:space="preserve">32228075</t>
  </si>
  <si>
    <t xml:space="preserve">Cemented or uncemented acetabular fixation in combination with the Exeter Universal cemented stem.</t>
  </si>
  <si>
    <t xml:space="preserve">26119884</t>
  </si>
  <si>
    <t xml:space="preserve">Lower prosthesis-specific 10-year revision rate with crosslinked than with non-crosslinked polyethylene in primary total knee arthroplasty.</t>
  </si>
  <si>
    <t xml:space="preserve">25568407</t>
  </si>
  <si>
    <t xml:space="preserve">Bone Joint J. 2015.</t>
  </si>
  <si>
    <t xml:space="preserve">Validation of primary metal-on-metal hip arthroplasties on the National Joint Registry for England, Wales and Northern Ireland using data from the London Implant Retrieval Centre: a study using the NJR dataset.</t>
  </si>
  <si>
    <t xml:space="preserve">25070918</t>
  </si>
  <si>
    <t xml:space="preserve">Clin Orthop Relat Res. 2014.</t>
  </si>
  <si>
    <t xml:space="preserve">How have alternative bearings and modularity affected revision rates in total hip arthroplasty?</t>
  </si>
  <si>
    <t xml:space="preserve">30912993</t>
  </si>
  <si>
    <t xml:space="preserve">Crit Rev Toxicol. 2018.</t>
  </si>
  <si>
    <t xml:space="preserve">Understanding outcomes and toxicological aspects of second generation metal-on-metal hip implants: a state-of-the-art review.</t>
  </si>
  <si>
    <t xml:space="preserve">25399966</t>
  </si>
  <si>
    <t xml:space="preserve">Short-term survival of the trabecular metal cup is similar to that of standard cups used in acetabular revision surgery.</t>
  </si>
  <si>
    <t xml:space="preserve">23392990</t>
  </si>
  <si>
    <t xml:space="preserve">Clin Orthop Relat Res. 2013.</t>
  </si>
  <si>
    <t xml:space="preserve">Cumulative revision rate is higher in metal-on-metal THA than metal-on-polyethylene THA: analysis of survival in a community registry.</t>
  </si>
  <si>
    <t xml:space="preserve">30379681</t>
  </si>
  <si>
    <t xml:space="preserve">CORR Insights: No Increase in Survival for 36-mm versus 32-mm Femoral Heads in Metal-on-polyethylene THA: A Registry Study.</t>
  </si>
  <si>
    <t xml:space="preserve">41165855</t>
  </si>
  <si>
    <t xml:space="preserve">10-year survival comparison of two cemented implants in primary total hip arthroplasty for osteoarthritis: a New Zealand regional study.</t>
  </si>
  <si>
    <t xml:space="preserve">24041344</t>
  </si>
  <si>
    <t xml:space="preserve">Value Health. 2013.</t>
  </si>
  <si>
    <t xml:space="preserve">Cost-utility of metal-on-metal hip resurfacing compared to conventional total hip replacement in young active patients with osteoarthritis.</t>
  </si>
  <si>
    <t xml:space="preserve">23036895</t>
  </si>
  <si>
    <t xml:space="preserve">Lancet. 2012.</t>
  </si>
  <si>
    <t xml:space="preserve">Failure rates of metal-on-metal hip resurfacings: analysis of data from the National Joint Registry for England and Wales.</t>
  </si>
  <si>
    <t xml:space="preserve">22628587</t>
  </si>
  <si>
    <t xml:space="preserve">J Bone Joint Surg Br. 2012.</t>
  </si>
  <si>
    <t xml:space="preserve">Independent predictors of revision following metal-on-metal hip resurfacing: a retrospective cohort study using National Joint Registry data.</t>
  </si>
  <si>
    <t xml:space="preserve">27017205</t>
  </si>
  <si>
    <t xml:space="preserve">Comparative Results From a National Joint Registry Hip Data Set of a New Cross-Linked Annealed Polyethylene vs Both Conventional Polyethylene and Ceramic Bearings.</t>
  </si>
  <si>
    <t xml:space="preserve">26373851</t>
  </si>
  <si>
    <t xml:space="preserve">Does a titanium-coated polyethylene press-fit cup give reliable midterm results?</t>
  </si>
  <si>
    <t xml:space="preserve">39937240</t>
  </si>
  <si>
    <t xml:space="preserve">Long-term outcomes of small head metal-on-metal compared to ceramic-on-polyethylene primary total hip arthroplasty: a registry-based cohort study.</t>
  </si>
  <si>
    <t xml:space="preserve">39740683</t>
  </si>
  <si>
    <t xml:space="preserve">The risk of dislocation in dual-mobility versus 36 mm heads in primary total hip arthroplasty for osteoarthritis.</t>
  </si>
  <si>
    <t xml:space="preserve">24615914</t>
  </si>
  <si>
    <t xml:space="preserve">J Orthop Res. 2014.</t>
  </si>
  <si>
    <t xml:space="preserve">Strong association between smoking and the risk of revision in a cohort study of patients with metal-on-metal total hip arthroplasty.</t>
  </si>
  <si>
    <t xml:space="preserve">40615816</t>
  </si>
  <si>
    <t xml:space="preserve">BMC Musculoskelet Disord. 2025.</t>
  </si>
  <si>
    <t xml:space="preserve">Physical activity and the risk of aseptic loosening after total hip arthroplasty: a case-control study from the Norwegian Arthroplasty Register.</t>
  </si>
  <si>
    <t xml:space="preserve">40735124</t>
  </si>
  <si>
    <t xml:space="preserve">J Orthop. 2025.</t>
  </si>
  <si>
    <t xml:space="preserve">Seventeen-year outcomes for a contemporary total hip resurfacing prosthesis in Australia: an analysis of registry data with comparison to best performing conventional and most prevalent resurfacing prostheses.</t>
  </si>
  <si>
    <t xml:space="preserve">41999794</t>
  </si>
  <si>
    <t xml:space="preserve">Highly Porous Metal Revision Cup With a Cemented Dual Mobility Bearing Reduces Instability Following Complex Acetabular Reconstructions: A Minimum Two-Year Follow-Up.</t>
  </si>
  <si>
    <t xml:space="preserve">41985069</t>
  </si>
  <si>
    <t xml:space="preserve">J Bone Joint Surg Am. 2026.</t>
  </si>
  <si>
    <t xml:space="preserve">Impact of Stem Design on Periprosthetic Femoral Fracture Risk: Findings from 182,118 Primary Total Hip Arthroplasties in the Swiss National Joint Registry.</t>
  </si>
  <si>
    <t xml:space="preserve">22258775</t>
  </si>
  <si>
    <t xml:space="preserve">Five-year results of the ASR XL Acetabular System and the ASR Hip Resurfacing System: an analysis from the Australian Orthopaedic Association National Joint Replacement Registry.</t>
  </si>
  <si>
    <t xml:space="preserve">40473846</t>
  </si>
  <si>
    <t xml:space="preserve">Eur J Orthop Surg Traumatol. 2025.</t>
  </si>
  <si>
    <t xml:space="preserve">Threaded cup in total hip arthroplasty: a systematic review of long-term survivorship.</t>
  </si>
  <si>
    <t xml:space="preserve">21902124</t>
  </si>
  <si>
    <t xml:space="preserve">Orthopedics. 2011.</t>
  </si>
  <si>
    <t xml:space="preserve">Metal-on-metal surface replacement: a triumph of hope over reason: affirms.</t>
  </si>
  <si>
    <t xml:space="preserve">25637401</t>
  </si>
  <si>
    <t xml:space="preserve">CORR Insights: Metal-on-conventional total hip arthroplasty bearing surfaces have a higher risk of revision than metal-on-highly crosslinked polyethylene: results from a US registry.</t>
  </si>
  <si>
    <t xml:space="preserve">39632336</t>
  </si>
  <si>
    <t xml:space="preserve">Hip Int. 2025.</t>
  </si>
  <si>
    <t xml:space="preserve">A comparison of postoperative microbiological and histological test results with the indication for revision as listed at the time of surgery in the National Joint Registry: a single-centre cohort study of metal-on-metal total hip replacement and hip resurfacing revision procedures.</t>
  </si>
  <si>
    <t xml:space="preserve">27188836</t>
  </si>
  <si>
    <t xml:space="preserve">Early Subsidence Predicts Failure of a Cemented Femoral Stem With Minor Design Changes.</t>
  </si>
  <si>
    <t xml:space="preserve">25820881</t>
  </si>
  <si>
    <t xml:space="preserve">Cost effectiveness of total hip arthroplasty in osteoarthritis: comparison of devices with differing bearing surfaces and modes of fixation.</t>
  </si>
  <si>
    <t xml:space="preserve">25758375</t>
  </si>
  <si>
    <t xml:space="preserve">Do Complication Rates Differ by Gender After Metal-on-metal Hip Resurfacing Arthroplasty? A Systematic Review.</t>
  </si>
  <si>
    <t xml:space="preserve">40786760</t>
  </si>
  <si>
    <t xml:space="preserve">J Orthop Case Rep. 2025.</t>
  </si>
  <si>
    <t xml:space="preserve">Failure of Metal-on-Metal Total Hip Arthroplasty: The First Reported Case from the Caribbean and the Need for a National Joint Registry.</t>
  </si>
  <si>
    <t xml:space="preserve">38087860</t>
  </si>
  <si>
    <t xml:space="preserve">What is the most appropriate comparator group to use in assessing the performance of primary total hip prostheses within the community?</t>
  </si>
  <si>
    <t xml:space="preserve">26680408</t>
  </si>
  <si>
    <t xml:space="preserve">Surg Technol Int. 2015.</t>
  </si>
  <si>
    <t xml:space="preserve">Early Experience with a New Porous Hemispheric Acetabular Component.</t>
  </si>
  <si>
    <t xml:space="preserve">40388488</t>
  </si>
  <si>
    <t xml:space="preserve">Clin Orthop Relat Res. 2025.</t>
  </si>
  <si>
    <t xml:space="preserve">Do Cumulative Revision Rate and First-time Re-revision Rate Vary Between Short and Standard Femoral Stem Lengths? A Multinational Registry Study.</t>
  </si>
  <si>
    <t xml:space="preserve">42557578</t>
  </si>
  <si>
    <t xml:space="preserve">Arthroplasty. 2026.</t>
  </si>
  <si>
    <t xml:space="preserve">Cumulative revision rates in total hip arthroplasty depending on acetabular cup fixation: an analysis from the German arthroplasty registry.</t>
  </si>
  <si>
    <t xml:space="preserve">25301437</t>
  </si>
  <si>
    <t xml:space="preserve">No functional benefit of larger femoral heads and alternative bearings at 6 months following primary hip replacement.</t>
  </si>
  <si>
    <t xml:space="preserve">27955657</t>
  </si>
  <si>
    <t xml:space="preserve">BMC Musculoskelet Disord. 2016.</t>
  </si>
  <si>
    <t xml:space="preserve">Adverse reactions to metal debris occur with all types of hip replacement not just metal-on-metal hips: a retrospective observational study of 3340 revisions for adverse reactions to metal debris from the National Joint Registry for England, Wales, Northern Ireland and the Isle of Man.</t>
  </si>
  <si>
    <t xml:space="preserve">41638519</t>
  </si>
  <si>
    <t xml:space="preserve">Mixing Components From Different Manufacturers in Total Hip Arthroplasty: An Analysis of the American Joint Replacement Registry.</t>
  </si>
  <si>
    <t xml:space="preserve">23523210</t>
  </si>
  <si>
    <t xml:space="preserve">Factors influencing revision risk following 15 740 single-brand hybrid hip arthroplasties: a cohort study from a National Joint Registry.</t>
  </si>
  <si>
    <t xml:space="preserve">23820688</t>
  </si>
  <si>
    <t xml:space="preserve">Scand J Surg. 2013.</t>
  </si>
  <si>
    <t xml:space="preserve">Cementless total hip arthroplasty with large diameter metal-on-metal heads: short-term survivorship of 8059 hips from the Finnish Arthroplasty Register.</t>
  </si>
  <si>
    <t xml:space="preserve">22417410</t>
  </si>
  <si>
    <t xml:space="preserve">Failure rates of stemmed metal-on-metal hip replacements: analysis of data from the National Joint Registry of England and Wales.</t>
  </si>
  <si>
    <t xml:space="preserve">23109639</t>
  </si>
  <si>
    <t xml:space="preserve">Patient and implant survival following 4323 total hip replacements for acute femoral neck fracture: a retrospective cohort study using National Joint Registry data.</t>
  </si>
  <si>
    <t xml:space="preserve">39424246</t>
  </si>
  <si>
    <t xml:space="preserve">No Difference in Survivorship Following Primary Total Hip Arthroplasty Using Ultraporous Acetabular Cups and Cross-Linked Polyethylene With and Without Acetabular Screws in a Large United States Health Care System.</t>
  </si>
  <si>
    <t xml:space="preserve">26280956</t>
  </si>
  <si>
    <t xml:space="preserve">Acta Orthop Belg. 2015.</t>
  </si>
  <si>
    <t xml:space="preserve">Efficacy of hip resurfacing arthroplasty: 6 year results from an international multisurgeon prospective cohort study.</t>
  </si>
  <si>
    <t xml:space="preserve">23723267</t>
  </si>
  <si>
    <t xml:space="preserve">Bone Joint J. 2013.</t>
  </si>
  <si>
    <t xml:space="preserve">Independent predictors of failure up to 7.5 years after 35 386 single-brand cementless total hip replacements: a retrospective cohort study using National Joint Registry data.</t>
  </si>
  <si>
    <t xml:space="preserve">33367281</t>
  </si>
  <si>
    <t xml:space="preserve">Bone Jt Open. 2020.</t>
  </si>
  <si>
    <t xml:space="preserve">Outcomes of the Exeter V40 cemented femoral stem at a minimum of ten years in a non-designer centre.</t>
  </si>
  <si>
    <t xml:space="preserve">42242695</t>
  </si>
  <si>
    <t xml:space="preserve">Bone Jt Open. 2026.</t>
  </si>
  <si>
    <t xml:space="preserve">Impact of offset polyethylene liners on acetabular component loosening: an Australian Orthopaedic Association National Joint Replacement Registry-based analysis.</t>
  </si>
  <si>
    <t xml:space="preserve">22574820</t>
  </si>
  <si>
    <t xml:space="preserve">Acta Orthop. 2012.</t>
  </si>
  <si>
    <t xml:space="preserve">Survival of uncemented acetabular monoblock cups: evaluation of 210 hips in the Swedish Hip Arthroplasty Register.</t>
  </si>
  <si>
    <t xml:space="preserve">28578684</t>
  </si>
  <si>
    <t xml:space="preserve">J Orthop Surg Res. 2017.</t>
  </si>
  <si>
    <t xml:space="preserve">Metal-on-metal hip resurfacing in patients younger than 50 years: a retrospective analysis: 1285 cases, 12-year survivorship.</t>
  </si>
  <si>
    <t xml:space="preserve">33204520</t>
  </si>
  <si>
    <t xml:space="preserve">EFORT Open Rev. 2020.</t>
  </si>
  <si>
    <t xml:space="preserve">Global diversity in bearings in primary THA.</t>
  </si>
  <si>
    <t xml:space="preserve">23799348</t>
  </si>
  <si>
    <t xml:space="preserve">Acta Orthop. 2013.</t>
  </si>
  <si>
    <t xml:space="preserve">Effect of femoral head size on risk of revision for dislocation after total hip arthroplasty: a population-based analysis of 42,379 primary procedures from the Finnish Arthroplasty Register.</t>
  </si>
  <si>
    <t xml:space="preserve">21992084</t>
  </si>
  <si>
    <t xml:space="preserve">Acta Orthop. 2011.</t>
  </si>
  <si>
    <t xml:space="preserve">Results of 3,668 primary total hip replacements for primary osteoarthritis in patients under the age of 55 years.</t>
  </si>
  <si>
    <t xml:space="preserve">42389461</t>
  </si>
  <si>
    <t xml:space="preserve">JB JS Open Access. 2026.</t>
  </si>
  <si>
    <t xml:space="preserve">The Effect of Bearing Surface On the Survival of Cementless and Hybrid Total Hip Arthroplasty: An Analysis of Linked National Joint Registry and Hospital Episode Statistics Data.</t>
  </si>
  <si>
    <t xml:space="preserve">41935762</t>
  </si>
  <si>
    <t xml:space="preserve">Primary Total Hip Arthroplasty in Patients Who Have Morbid Obesity: A Propensity-Weighted Analysis of Dual Mobility and Standard Fixed-Bearing Implants.</t>
  </si>
  <si>
    <t xml:space="preserve">35122685</t>
  </si>
  <si>
    <t xml:space="preserve">CORR Insights: In Revision THA, Is the Re-revision Risk for Dislocation and Aseptic Causes Greater in Dual-mobility Constructs or Large Femoral Head Bearings?</t>
  </si>
  <si>
    <t xml:space="preserve">26733513</t>
  </si>
  <si>
    <t xml:space="preserve">Are all metal-on-metal hip revision operations contributing to the National Joint Registry implant survival curves?: a study comparing the London Implant Retrieval Centre and National Joint Registry datasets.</t>
  </si>
  <si>
    <t xml:space="preserve">39087509</t>
  </si>
  <si>
    <t xml:space="preserve">EFORT Open Rev. 2024.</t>
  </si>
  <si>
    <t xml:space="preserve">Metal-on-metal hip resurfacing arthroplasty: is it safe and reliable? A synopsis of the past, the present, and the future of HRA.</t>
  </si>
  <si>
    <t xml:space="preserve">39551411</t>
  </si>
  <si>
    <t xml:space="preserve">Patient and Surgical Factors Associated With Long-Term Mortality Outcomes Up to Fifteen Years After Total Hip and Knee Arthroplasty: An Australian Orthopaedic Association National Joint Replacement Registry Study.</t>
  </si>
  <si>
    <t xml:space="preserve">39173975</t>
  </si>
  <si>
    <t xml:space="preserve">Choice of Bearings Influences the Implant Survival of Total Hip Arthroplasty in Patients Who Have Osteoarthritis Aged 55 Years or Older: Results of 158,044 Patients From the Nordic Arthroplasty Register Association From 2005 to 2017.</t>
  </si>
  <si>
    <t xml:space="preserve">36561219</t>
  </si>
  <si>
    <t xml:space="preserve">Arch Bone Jt Surg. 2022.</t>
  </si>
  <si>
    <t xml:space="preserve">Revision in Ceramic-on-Ceramic and Ceramic-on-Polyethylene Bearing in Primary Total Hip Arthroplasty with Press-fit Cups: A Systematic Review and Meta-analysis of Different Methodological Study Designs.</t>
  </si>
  <si>
    <t xml:space="preserve">24345980</t>
  </si>
  <si>
    <t xml:space="preserve">Scand J Surg. 2014.</t>
  </si>
  <si>
    <t xml:space="preserve">Hip resurfacing arthroplasty versus large-diameter head metal-on-metal total hip arthroplasty: comparison of three designs from the Finnish Arthroplasty Register.</t>
  </si>
  <si>
    <t xml:space="preserve">41360161</t>
  </si>
  <si>
    <t xml:space="preserve">Orthop Traumatol Surg Res. 2026.</t>
  </si>
  <si>
    <t xml:space="preserve">Use of Short Femoral Stems in Primary Total Hip Arthroplasty: A Mid-Term Safety Analysis: Prospective series of 5,876 cases at 4.4-year average follow-up.</t>
  </si>
  <si>
    <t xml:space="preserve">22490979</t>
  </si>
  <si>
    <t xml:space="preserve">BMJ. 2012.</t>
  </si>
  <si>
    <t xml:space="preserve">Risk of cancer in first seven years after metal-on-metal hip replacement compared with other bearings and general population: linkage study between the National Joint Registry of England and Wales and hospital episode statistics.</t>
  </si>
  <si>
    <t xml:space="preserve">25520418</t>
  </si>
  <si>
    <t xml:space="preserve">Multinational comprehensive evaluation of the fixation method used in hip replacement: interaction with age in context.</t>
  </si>
  <si>
    <t xml:space="preserve">33051121</t>
  </si>
  <si>
    <t xml:space="preserve">Revisions for Periprosthetic Hip Infections Do Not Fail More Than Revisions for Aseptic Loosening, but Mortality is Higher.</t>
  </si>
  <si>
    <t xml:space="preserve">32852916</t>
  </si>
  <si>
    <t xml:space="preserve">J Am Acad Orthop Surg Glob Res Rev. 2020.</t>
  </si>
  <si>
    <t xml:space="preserve">Overview of Randomized Controlled Trials in Primary Total Hip Arthroplasty (34,020 Patients): What Have We Learnt?</t>
  </si>
  <si>
    <t xml:space="preserve">42618575</t>
  </si>
  <si>
    <t xml:space="preserve">Sci Rep. 2026.</t>
  </si>
  <si>
    <t xml:space="preserve">Comparative outcomes of Forte versus Delta ceramic bearings in total hip arthroplasty using a national database.</t>
  </si>
  <si>
    <t xml:space="preserve">42654489</t>
  </si>
  <si>
    <t xml:space="preserve">Medicina (Kaunas). 2026.</t>
  </si>
  <si>
    <t xml:space="preserve">Monoblock and Modular Dual-Mobility Constructs Versus Standard Cups with Femoral Heads 36 mm in Cementless Total Hip Arthroplasty for Femoral Neck Fracture: A 10-Year Comparative Registry Study of 10-Year Survival Estimates.</t>
  </si>
  <si>
    <t xml:space="preserve">41577306</t>
  </si>
  <si>
    <t xml:space="preserve">Risk of Revision for Periprosthetic Fracture Following Cementless Total Hip Arthroplasty Using a Specific Type 1 Blade Design Stem: A Registry-Based Cohort Study.</t>
  </si>
  <si>
    <t xml:space="preserve">41802723</t>
  </si>
  <si>
    <t xml:space="preserve">Z Orthop Unfall. 2026.</t>
  </si>
  <si>
    <t xml:space="preserve">Bearing Materials in Hip Arthroplasty - What Do the Arthroplasty Registries Say?</t>
  </si>
  <si>
    <t xml:space="preserve">42173208</t>
  </si>
  <si>
    <t xml:space="preserve">Do Cobalt-Chromium Femoral Heads Have Reduced Revision Risk Compared to Stainless Steel Metal Heads With a Single Cemented Femoral Design? A New Zealand Joint Registry Study.</t>
  </si>
  <si>
    <t xml:space="preserve">31673809</t>
  </si>
  <si>
    <t xml:space="preserve">J Orthop Traumatol. 2019.</t>
  </si>
  <si>
    <t xml:space="preserve">Mid-term results of a new-generation calcar-guided short stem in THA: clinical and radiological 5-year follow-up of 216 cases.</t>
  </si>
  <si>
    <t xml:space="preserve">41101571</t>
  </si>
  <si>
    <t xml:space="preserve">Incidence of Liner Dissociation and All-Cause Revision With Uncemented Acetabular Components in Primary Total Hip Arthroplasty.</t>
  </si>
  <si>
    <t xml:space="preserve">30794219</t>
  </si>
  <si>
    <t xml:space="preserve">The 2018 Otto Aufranc Award: How Does Genome-wide Variation Affect Osteolysis Risk After THA?</t>
  </si>
  <si>
    <t xml:space="preserve">41958242</t>
  </si>
  <si>
    <t xml:space="preserve">Hip Int. 2026.</t>
  </si>
  <si>
    <t xml:space="preserve">Is there a place for routine use of cemented acetabular fixation in primary total hip arthroplasty for osteoarthritis? Equivalence demonstrated in an analysis of 96,574 cases from the Australian Orthopaedic Association National Joint Replacement Registry.</t>
  </si>
  <si>
    <t xml:space="preserve">25281549</t>
  </si>
  <si>
    <t xml:space="preserve">Orthop Traumatol Surg Res. 2014.</t>
  </si>
  <si>
    <t xml:space="preserve">Does cross-linked polyethylene decrease the revision rate of total hip arthroplasty compared with conventional polyethylene? A meta-analysis.</t>
  </si>
  <si>
    <t xml:space="preserve">41490740</t>
  </si>
  <si>
    <t xml:space="preserve">Does the presence of a lipped highly crosslinked polyethylene liner affect the survival of total hip arthroplasty implants?: a registry-based retrospective cohort study.</t>
  </si>
  <si>
    <t xml:space="preserve">28260601</t>
  </si>
  <si>
    <t xml:space="preserve">Dan Med J. 2017.</t>
  </si>
  <si>
    <t xml:space="preserve">Outcomes of different bearings in total hip arthroplasty - implant survival, revision causes, and patient-reported outcome.</t>
  </si>
  <si>
    <t xml:space="preserve">35383614</t>
  </si>
  <si>
    <t xml:space="preserve">Insights into Imprinting: How Is the Phenomenon of Tribocorrosion at Head-Neck Taper Interfaces Related to Corrosion, Fretting, and Implant Design Parameters?</t>
  </si>
  <si>
    <t xml:space="preserve">20130308</t>
  </si>
  <si>
    <t xml:space="preserve">J Bone Joint Surg Br. 2010.</t>
  </si>
  <si>
    <t xml:space="preserve">Metal-backed acetabular components with conventional polyethylene: a review of 9113 primary components with a follow-up of 20 years.</t>
  </si>
  <si>
    <t xml:space="preserve">21999624</t>
  </si>
  <si>
    <t xml:space="preserve">Is reverse hybrid hip replacement the solution?</t>
  </si>
  <si>
    <t xml:space="preserve">40939940</t>
  </si>
  <si>
    <t xml:space="preserve">Cobalt Chrome Heads Underperform Ceramic and Ceramicized Metal Heads in the Younger Population: An American Joint Replacement Registry Report.</t>
  </si>
  <si>
    <t xml:space="preserve">20568026</t>
  </si>
  <si>
    <t xml:space="preserve">Clin Orthop Relat Res. 2011.</t>
  </si>
  <si>
    <t xml:space="preserve">Do "premium" joint implants add value?: analysis of high cost joint implants in a community registry.</t>
  </si>
  <si>
    <t xml:space="preserve">36013524</t>
  </si>
  <si>
    <t xml:space="preserve">Medicina (Kaunas). 2022.</t>
  </si>
  <si>
    <t xml:space="preserve">Efficacy and Safety of Acetabular Cup without Screw Fixation in Total Hip Arthroplasty: A Systematic Review and Meta-Analysis.</t>
  </si>
  <si>
    <t xml:space="preserve">35182171</t>
  </si>
  <si>
    <t xml:space="preserve">Knee Surg Sports Traumatol Arthrosc. 2022.</t>
  </si>
  <si>
    <t xml:space="preserve">Comparable results between crosslinked polyethylene and conventional ultra-high molecular weight polyethylene implanted in total knee arthroplasty: systematic review and meta-analysis of randomised clinical trials.</t>
  </si>
  <si>
    <t xml:space="preserve">42589997</t>
  </si>
  <si>
    <t xml:space="preserve">J Clin Med. 2026.</t>
  </si>
  <si>
    <t xml:space="preserve">Bone-Sparing Hip Arthroplasty in Young and Active Patients: A Narrative Review.</t>
  </si>
  <si>
    <t xml:space="preserve">41199106</t>
  </si>
  <si>
    <t xml:space="preserve">Musculoskelet Surg. 2026.</t>
  </si>
  <si>
    <t xml:space="preserve">Uncemented hip resurfacing in patients over 65: 16-year outcomes from a large, single-surgeon series.</t>
  </si>
  <si>
    <t xml:space="preserve">24493182</t>
  </si>
  <si>
    <t xml:space="preserve">Bone Joint J. 2014.</t>
  </si>
  <si>
    <t xml:space="preserve">An estimation of the incidence of squeaking and revision surgery for squeaking in ceramic-on-ceramic total hip replacement: a meta-analysis and report from the Australian Orthopaedic Association National Joint Registry.</t>
  </si>
  <si>
    <t xml:space="preserve">20357319</t>
  </si>
  <si>
    <t xml:space="preserve">The influence of the size of the component on the outcome of resurfacing arthroplasty of the hip: a review of the literature.</t>
  </si>
  <si>
    <t xml:space="preserve">37553600</t>
  </si>
  <si>
    <t xml:space="preserve">Does intraoperative fluoroscopy improve acetabular component positioning and limb-length discrepancy during direct anterior total hip arthroplasty? A meta-analysis.</t>
  </si>
  <si>
    <t xml:space="preserve">38147077</t>
  </si>
  <si>
    <t xml:space="preserve">The effect of intraoperative fluoroscopy on acetabular component positioning and patient anatomy restoration during posterior or posterolateral approach total hip arthroplasty: a meta-analysis.</t>
  </si>
  <si>
    <t xml:space="preserve">20012720</t>
  </si>
  <si>
    <t xml:space="preserve">Clin Orthop Relat Res. 2010.</t>
  </si>
  <si>
    <t xml:space="preserve">Hip resurfacing data from national joint registries: what do they tell us? What do they not tell us?</t>
  </si>
  <si>
    <t xml:space="preserve">38779264</t>
  </si>
  <si>
    <t xml:space="preserve">A Meta-Analysis to Evaluate Implant Survival and Benefits of the Use of Dual Mobility Constructs in Total Hip Replacement Following Hip Fracture.</t>
  </si>
  <si>
    <t xml:space="preserve">36799995</t>
  </si>
  <si>
    <t xml:space="preserve">Arch Orthop Trauma Surg. 2023.</t>
  </si>
  <si>
    <t xml:space="preserve">Survivorship of the dual-mobility construct in elective primary total hip replacement: a systematic review and meta-analysis including registry data.</t>
  </si>
  <si>
    <t xml:space="preserve">Gardner et al.: currently in the paper as a descriptive source; excluded here because it is a meta-analysis</t>
  </si>
  <si>
    <t xml:space="preserve">25634033</t>
  </si>
  <si>
    <t xml:space="preserve">Health Technol Assess. 2015.</t>
  </si>
  <si>
    <t xml:space="preserve">Total hip replacement and surface replacement for the treatment of pain and disability resulting from end-stage arthritis of the hip (review of technology appraisal guidance 2 and 44): systematic review and economic evaluation.</t>
  </si>
  <si>
    <t xml:space="preserve">22134618</t>
  </si>
  <si>
    <t xml:space="preserve">Arch Orthop Trauma Surg. 2012.</t>
  </si>
  <si>
    <t xml:space="preserve">Total hip arthroplasty: to cement or not to cement the acetabular socket? A critical review of the literature.</t>
  </si>
  <si>
    <t xml:space="preserve">31794492</t>
  </si>
  <si>
    <t xml:space="preserve">Is Isolated Mobile Component Exchange an Option in the Management of Intraprosthetic Dislocation of a Dual Mobility Cup?</t>
  </si>
  <si>
    <t xml:space="preserve">41396367</t>
  </si>
  <si>
    <t xml:space="preserve">Revision for dislocation and all-causes following primary total hip replacement using 36-mm versus 32-mm femoral heads on polyethylene liners: a systematic review and meta-analysis.</t>
  </si>
  <si>
    <t xml:space="preserve">37564704</t>
  </si>
  <si>
    <t xml:space="preserve">J Orthop. 2023.</t>
  </si>
  <si>
    <t xml:space="preserve">Battle of the titans: Survivorship analysis of the 3 most common types of uncemented femoral stems used across national registries.</t>
  </si>
  <si>
    <t xml:space="preserve">42498039</t>
  </si>
  <si>
    <t xml:space="preserve">French Innovations in Lower Limb arthroplasty that have Become "Gold Standards": an overview.</t>
  </si>
  <si>
    <t xml:space="preserve">41534611</t>
  </si>
  <si>
    <t xml:space="preserve">When Forced to Choose, Larger Femoral Head Size Confers Greater Protection Against Risk for Dislocation than a Lipped Acetabular Liner.</t>
  </si>
  <si>
    <t xml:space="preserve">40645531</t>
  </si>
  <si>
    <t xml:space="preserve">Taper-Slip Cemented Femoral Stem Designs Are Associated With Higher Periprosthetic Fracture Risk Compared to Composite-Beam in a United States Health Care System.</t>
  </si>
  <si>
    <t xml:space="preserve">42296227</t>
  </si>
  <si>
    <t xml:space="preserve">JBJS Rev. 2026.</t>
  </si>
  <si>
    <t xml:space="preserve">Clinical Outcomes and Survivorship After Conversion of Metal-on-Metal Hip Resurfacing to Total Hip Arthroplasty: A Systematic Review.</t>
  </si>
  <si>
    <t xml:space="preserve">41550849</t>
  </si>
  <si>
    <t xml:space="preserve">A systematic review and meta-analysis of cases of prosthetic hip-associated cobalt toxicity in patients with prosthetic hip ceramic bearing fractures subsequently revised to metal-on-polyethylene implants.</t>
  </si>
  <si>
    <t xml:space="preserve">32566716</t>
  </si>
  <si>
    <t xml:space="preserve">Arthroplast Today. 2020.</t>
  </si>
  <si>
    <t xml:space="preserve">Acetabular Liner Dissociation: A Comparative Study of Two Contemporary Uncemented Acetabular Components.</t>
  </si>
  <si>
    <t xml:space="preserve">Stage</t>
  </si>
  <si>
    <t xml:space="preserve">Count</t>
  </si>
  <si>
    <t xml:space="preserve">How it is calculated</t>
  </si>
  <si>
    <t xml:space="preserve">PubMed records identified (search run 24 Sep 2026; English; 2010-2026)</t>
  </si>
  <si>
    <t xml:space="preserve">Search total shown by PubMed</t>
  </si>
  <si>
    <t xml:space="preserve">Duplicates removed</t>
  </si>
  <si>
    <t xml:space="preserve">Single database so far; update after adding Google Scholar</t>
  </si>
  <si>
    <t xml:space="preserve">Records screened (titles)</t>
  </si>
  <si>
    <t xml:space="preserve">Rows in Screening log</t>
  </si>
  <si>
    <t xml:space="preserve">Excluded: not registry-based</t>
  </si>
  <si>
    <t xml:space="preserve">Code X1</t>
  </si>
  <si>
    <t xml:space="preserve">Excluded: not a primary THA population</t>
  </si>
  <si>
    <t xml:space="preserve">Code X2</t>
  </si>
  <si>
    <t xml:space="preserve">Excluded: does not compare bearing surfaces</t>
  </si>
  <si>
    <t xml:space="preserve">Code X3</t>
  </si>
  <si>
    <t xml:space="preserve">Excluded: review, meta-analysis, commentary</t>
  </si>
  <si>
    <t xml:space="preserve">Code X4</t>
  </si>
  <si>
    <t xml:space="preserve">Excluded: single-cause outcome only</t>
  </si>
  <si>
    <t xml:space="preserve">Code X5</t>
  </si>
  <si>
    <t xml:space="preserve">Total excluded at title screening</t>
  </si>
  <si>
    <t xml:space="preserve">Sum of exclusions</t>
  </si>
  <si>
    <t xml:space="preserve">Full texts to assess</t>
  </si>
  <si>
    <t xml:space="preserve">Code FT</t>
  </si>
  <si>
    <t xml:space="preserve">Check: screened minus excluded equals full texts</t>
  </si>
  <si>
    <t xml:space="preserve">Should read OK</t>
  </si>
  <si>
    <t xml:space="preserve">Blue numbers are typed-in values; black numbers are formulas.</t>
  </si>
  <si>
    <t xml:space="preserve">Full-text decision (to be completed)</t>
  </si>
  <si>
    <t xml:space="preserve">Reason / data extracted</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</si>
</sst>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1"/>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305496"/>
        <bgColor rgb="FF666699"/>
      </patternFill>
    </fill>
    <fill>
      <patternFill patternType="solid">
        <fgColor rgb="FFFFF2CC"/>
        <bgColor rgb="FFE2EFDA"/>
      </patternFill>
    </fill>
    <fill>
      <patternFill patternType="solid">
        <fgColor rgb="FFE2EFDA"/>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305496"/>
          <bgColor rgb="FF000000"/>
        </patternFill>
      </fill>
    </dxf>
    <dxf>
      <fill>
        <patternFill patternType="solid">
          <fgColor rgb="FFE2EFDA"/>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0"/>
  </cols>
  <sheetData>
    <row r="1" customFormat="false" ht="16.15" hidden="false" customHeight="false" outlineLevel="0" collapsed="false">
      <c r="A1" s="1" t="s">
        <v>0</v>
      </c>
    </row>
    <row r="2" customFormat="false" ht="15" hidden="false" customHeight="false" outlineLevel="0" collapsed="false">
      <c r="A2" s="2"/>
      <c r="B2" s="2"/>
    </row>
    <row r="3" customFormat="false" ht="35.05" hidden="false" customHeight="false" outlineLevel="0" collapsed="false">
      <c r="A3" s="2" t="s">
        <v>1</v>
      </c>
      <c r="B3" s="2" t="s">
        <v>2</v>
      </c>
    </row>
    <row r="4" customFormat="false" ht="15" hidden="false" customHeight="false" outlineLevel="0" collapsed="false">
      <c r="A4" s="2" t="s">
        <v>3</v>
      </c>
      <c r="B4" s="2" t="s">
        <v>4</v>
      </c>
    </row>
    <row r="5" customFormat="false" ht="15" hidden="false" customHeight="false" outlineLevel="0" collapsed="false">
      <c r="A5" s="2" t="s">
        <v>5</v>
      </c>
      <c r="B5" s="2" t="s">
        <v>6</v>
      </c>
    </row>
    <row r="6" customFormat="false" ht="15" hidden="false" customHeight="false" outlineLevel="0" collapsed="false">
      <c r="A6" s="2" t="s">
        <v>7</v>
      </c>
      <c r="B6" s="2" t="s">
        <v>8</v>
      </c>
    </row>
    <row r="7" customFormat="false" ht="15" hidden="false" customHeight="false" outlineLevel="0" collapsed="false">
      <c r="A7" s="2"/>
      <c r="B7" s="2"/>
    </row>
    <row r="8" customFormat="false" ht="15" hidden="false" customHeight="false" outlineLevel="0" collapsed="false">
      <c r="A8" s="2" t="s">
        <v>9</v>
      </c>
      <c r="B8" s="2" t="s">
        <v>10</v>
      </c>
    </row>
    <row r="9" customFormat="false" ht="23.85" hidden="false" customHeight="false" outlineLevel="0" collapsed="false">
      <c r="A9" s="2" t="s">
        <v>11</v>
      </c>
      <c r="B9" s="2" t="s">
        <v>12</v>
      </c>
    </row>
    <row r="10" customFormat="false" ht="15" hidden="false" customHeight="false" outlineLevel="0" collapsed="false">
      <c r="A10" s="2"/>
      <c r="B10" s="2"/>
    </row>
    <row r="11" customFormat="false" ht="15" hidden="false" customHeight="false" outlineLevel="0" collapsed="false">
      <c r="A11" s="2" t="s">
        <v>13</v>
      </c>
      <c r="B11" s="2" t="s">
        <v>14</v>
      </c>
    </row>
    <row r="12" customFormat="false" ht="15" hidden="false" customHeight="false" outlineLevel="0" collapsed="false">
      <c r="A12" s="2" t="s">
        <v>15</v>
      </c>
      <c r="B12" s="2" t="s">
        <v>16</v>
      </c>
    </row>
    <row r="13" customFormat="false" ht="15" hidden="false" customHeight="false" outlineLevel="0" collapsed="false">
      <c r="A13" s="2" t="s">
        <v>17</v>
      </c>
      <c r="B13" s="2" t="s">
        <v>18</v>
      </c>
    </row>
    <row r="14" customFormat="false" ht="15" hidden="false" customHeight="false" outlineLevel="0" collapsed="false">
      <c r="A14" s="2" t="s">
        <v>19</v>
      </c>
      <c r="B14" s="2" t="s">
        <v>20</v>
      </c>
    </row>
    <row r="15" customFormat="false" ht="15" hidden="false" customHeight="false" outlineLevel="0" collapsed="false">
      <c r="A15" s="2" t="s">
        <v>21</v>
      </c>
      <c r="B15" s="2" t="s">
        <v>22</v>
      </c>
    </row>
    <row r="16" customFormat="false" ht="15" hidden="false" customHeight="false" outlineLevel="0" collapsed="false">
      <c r="A16" s="2" t="s">
        <v>23</v>
      </c>
      <c r="B16" s="2"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22"/>
    <col collapsed="false" customWidth="true" hidden="false" outlineLevel="0" max="4" min="4" style="0" width="70"/>
    <col collapsed="false" customWidth="true" hidden="false" outlineLevel="0" max="5" min="5" style="0" width="42"/>
    <col collapsed="false" customWidth="true" hidden="false" outlineLevel="0" max="6" min="6" style="0" width="7"/>
    <col collapsed="false" customWidth="true" hidden="false" outlineLevel="0" max="7" min="7" style="0" width="34"/>
    <col collapsed="false" customWidth="true" hidden="false" outlineLevel="0" max="8" min="8" style="0" width="18"/>
  </cols>
  <sheetData>
    <row r="1" customFormat="false" ht="39.55" hidden="false" customHeight="false" outlineLevel="0" collapsed="false">
      <c r="A1" s="3" t="s">
        <v>25</v>
      </c>
      <c r="B1" s="3" t="s">
        <v>26</v>
      </c>
      <c r="C1" s="3" t="s">
        <v>27</v>
      </c>
      <c r="D1" s="3" t="s">
        <v>28</v>
      </c>
      <c r="E1" s="3" t="s">
        <v>29</v>
      </c>
      <c r="F1" s="3" t="s">
        <v>30</v>
      </c>
      <c r="G1" s="3" t="s">
        <v>31</v>
      </c>
      <c r="H1" s="3" t="s">
        <v>32</v>
      </c>
    </row>
    <row r="2" customFormat="false" ht="23.85" hidden="false" customHeight="false" outlineLevel="0" collapsed="false">
      <c r="A2" s="2" t="n">
        <v>1</v>
      </c>
      <c r="B2" s="2" t="s">
        <v>33</v>
      </c>
      <c r="C2" s="2" t="s">
        <v>34</v>
      </c>
      <c r="D2" s="2" t="s">
        <v>35</v>
      </c>
      <c r="E2" s="2" t="s">
        <v>22</v>
      </c>
      <c r="F2" s="2" t="s">
        <v>21</v>
      </c>
      <c r="G2" s="2"/>
      <c r="H2" s="4"/>
    </row>
    <row r="3" customFormat="false" ht="23.85" hidden="false" customHeight="false" outlineLevel="0" collapsed="false">
      <c r="A3" s="2" t="n">
        <v>2</v>
      </c>
      <c r="B3" s="2" t="s">
        <v>36</v>
      </c>
      <c r="C3" s="2" t="s">
        <v>37</v>
      </c>
      <c r="D3" s="2" t="s">
        <v>38</v>
      </c>
      <c r="E3" s="2" t="s">
        <v>18</v>
      </c>
      <c r="F3" s="2" t="s">
        <v>17</v>
      </c>
      <c r="G3" s="2"/>
      <c r="H3" s="4"/>
    </row>
    <row r="4" customFormat="false" ht="23.85" hidden="false" customHeight="false" outlineLevel="0" collapsed="false">
      <c r="A4" s="2" t="n">
        <v>3</v>
      </c>
      <c r="B4" s="2" t="s">
        <v>39</v>
      </c>
      <c r="C4" s="2" t="s">
        <v>40</v>
      </c>
      <c r="D4" s="2" t="s">
        <v>41</v>
      </c>
      <c r="E4" s="2" t="s">
        <v>18</v>
      </c>
      <c r="F4" s="2" t="s">
        <v>17</v>
      </c>
      <c r="G4" s="2"/>
      <c r="H4" s="4"/>
    </row>
    <row r="5" customFormat="false" ht="23.85" hidden="false" customHeight="false" outlineLevel="0" collapsed="false">
      <c r="A5" s="2" t="n">
        <v>4</v>
      </c>
      <c r="B5" s="2" t="s">
        <v>42</v>
      </c>
      <c r="C5" s="2" t="s">
        <v>43</v>
      </c>
      <c r="D5" s="2" t="s">
        <v>44</v>
      </c>
      <c r="E5" s="2" t="s">
        <v>20</v>
      </c>
      <c r="F5" s="2" t="s">
        <v>19</v>
      </c>
      <c r="G5" s="2"/>
      <c r="H5" s="4"/>
    </row>
    <row r="6" customFormat="false" ht="23.85" hidden="false" customHeight="false" outlineLevel="0" collapsed="false">
      <c r="A6" s="2" t="n">
        <v>5</v>
      </c>
      <c r="B6" s="2" t="s">
        <v>45</v>
      </c>
      <c r="C6" s="2" t="s">
        <v>46</v>
      </c>
      <c r="D6" s="2" t="s">
        <v>47</v>
      </c>
      <c r="E6" s="2" t="s">
        <v>18</v>
      </c>
      <c r="F6" s="2" t="s">
        <v>17</v>
      </c>
      <c r="G6" s="2"/>
      <c r="H6" s="4"/>
    </row>
    <row r="7" customFormat="false" ht="23.85" hidden="false" customHeight="false" outlineLevel="0" collapsed="false">
      <c r="A7" s="2" t="n">
        <v>6</v>
      </c>
      <c r="B7" s="2" t="s">
        <v>48</v>
      </c>
      <c r="C7" s="2" t="s">
        <v>49</v>
      </c>
      <c r="D7" s="2" t="s">
        <v>50</v>
      </c>
      <c r="E7" s="2" t="s">
        <v>18</v>
      </c>
      <c r="F7" s="2" t="s">
        <v>17</v>
      </c>
      <c r="G7" s="2"/>
      <c r="H7" s="4"/>
    </row>
    <row r="8" customFormat="false" ht="23.85" hidden="false" customHeight="false" outlineLevel="0" collapsed="false">
      <c r="A8" s="2" t="n">
        <v>7</v>
      </c>
      <c r="B8" s="2" t="s">
        <v>51</v>
      </c>
      <c r="C8" s="2" t="s">
        <v>52</v>
      </c>
      <c r="D8" s="2" t="s">
        <v>53</v>
      </c>
      <c r="E8" s="2" t="s">
        <v>24</v>
      </c>
      <c r="F8" s="2" t="s">
        <v>23</v>
      </c>
      <c r="G8" s="2"/>
      <c r="H8" s="4"/>
    </row>
    <row r="9" customFormat="false" ht="23.85" hidden="false" customHeight="false" outlineLevel="0" collapsed="false">
      <c r="A9" s="2" t="n">
        <v>8</v>
      </c>
      <c r="B9" s="2" t="s">
        <v>54</v>
      </c>
      <c r="C9" s="2" t="s">
        <v>55</v>
      </c>
      <c r="D9" s="2" t="s">
        <v>56</v>
      </c>
      <c r="E9" s="2" t="s">
        <v>22</v>
      </c>
      <c r="F9" s="2" t="s">
        <v>21</v>
      </c>
      <c r="G9" s="2"/>
      <c r="H9" s="4"/>
    </row>
    <row r="10" customFormat="false" ht="23.85" hidden="false" customHeight="false" outlineLevel="0" collapsed="false">
      <c r="A10" s="2" t="n">
        <v>9</v>
      </c>
      <c r="B10" s="2" t="s">
        <v>57</v>
      </c>
      <c r="C10" s="2" t="s">
        <v>58</v>
      </c>
      <c r="D10" s="2" t="s">
        <v>59</v>
      </c>
      <c r="E10" s="2" t="s">
        <v>16</v>
      </c>
      <c r="F10" s="2" t="s">
        <v>15</v>
      </c>
      <c r="G10" s="2"/>
      <c r="H10" s="4"/>
    </row>
    <row r="11" customFormat="false" ht="23.85" hidden="false" customHeight="false" outlineLevel="0" collapsed="false">
      <c r="A11" s="2" t="n">
        <v>10</v>
      </c>
      <c r="B11" s="2" t="s">
        <v>60</v>
      </c>
      <c r="C11" s="2" t="s">
        <v>61</v>
      </c>
      <c r="D11" s="2" t="s">
        <v>62</v>
      </c>
      <c r="E11" s="2" t="s">
        <v>24</v>
      </c>
      <c r="F11" s="2" t="s">
        <v>23</v>
      </c>
      <c r="G11" s="2"/>
      <c r="H11" s="4"/>
    </row>
    <row r="12" customFormat="false" ht="23.85" hidden="false" customHeight="false" outlineLevel="0" collapsed="false">
      <c r="A12" s="2" t="n">
        <v>11</v>
      </c>
      <c r="B12" s="2" t="s">
        <v>63</v>
      </c>
      <c r="C12" s="2" t="s">
        <v>64</v>
      </c>
      <c r="D12" s="2" t="s">
        <v>65</v>
      </c>
      <c r="E12" s="2" t="s">
        <v>20</v>
      </c>
      <c r="F12" s="2" t="s">
        <v>19</v>
      </c>
      <c r="G12" s="2"/>
      <c r="H12" s="4"/>
    </row>
    <row r="13" customFormat="false" ht="23.85" hidden="false" customHeight="false" outlineLevel="0" collapsed="false">
      <c r="A13" s="5" t="n">
        <v>12</v>
      </c>
      <c r="B13" s="5" t="s">
        <v>66</v>
      </c>
      <c r="C13" s="5" t="s">
        <v>67</v>
      </c>
      <c r="D13" s="5" t="s">
        <v>68</v>
      </c>
      <c r="E13" s="5" t="s">
        <v>14</v>
      </c>
      <c r="F13" s="5" t="s">
        <v>13</v>
      </c>
      <c r="G13" s="5"/>
      <c r="H13" s="4"/>
    </row>
    <row r="14" customFormat="false" ht="15" hidden="false" customHeight="false" outlineLevel="0" collapsed="false">
      <c r="A14" s="5" t="n">
        <v>13</v>
      </c>
      <c r="B14" s="5" t="s">
        <v>69</v>
      </c>
      <c r="C14" s="5" t="s">
        <v>70</v>
      </c>
      <c r="D14" s="5" t="s">
        <v>71</v>
      </c>
      <c r="E14" s="5" t="s">
        <v>14</v>
      </c>
      <c r="F14" s="5" t="s">
        <v>13</v>
      </c>
      <c r="G14" s="5" t="s">
        <v>72</v>
      </c>
      <c r="H14" s="4"/>
    </row>
    <row r="15" customFormat="false" ht="23.85" hidden="false" customHeight="false" outlineLevel="0" collapsed="false">
      <c r="A15" s="2" t="n">
        <v>14</v>
      </c>
      <c r="B15" s="2" t="s">
        <v>73</v>
      </c>
      <c r="C15" s="2" t="s">
        <v>74</v>
      </c>
      <c r="D15" s="2" t="s">
        <v>75</v>
      </c>
      <c r="E15" s="2" t="s">
        <v>20</v>
      </c>
      <c r="F15" s="2" t="s">
        <v>19</v>
      </c>
      <c r="G15" s="2"/>
      <c r="H15" s="4"/>
    </row>
    <row r="16" customFormat="false" ht="23.85" hidden="false" customHeight="false" outlineLevel="0" collapsed="false">
      <c r="A16" s="2" t="n">
        <v>15</v>
      </c>
      <c r="B16" s="2" t="s">
        <v>76</v>
      </c>
      <c r="C16" s="2" t="s">
        <v>70</v>
      </c>
      <c r="D16" s="2" t="s">
        <v>77</v>
      </c>
      <c r="E16" s="2" t="s">
        <v>18</v>
      </c>
      <c r="F16" s="2" t="s">
        <v>17</v>
      </c>
      <c r="G16" s="2"/>
      <c r="H16" s="4"/>
    </row>
    <row r="17" customFormat="false" ht="23.85" hidden="false" customHeight="false" outlineLevel="0" collapsed="false">
      <c r="A17" s="2" t="n">
        <v>16</v>
      </c>
      <c r="B17" s="2" t="s">
        <v>78</v>
      </c>
      <c r="C17" s="2" t="s">
        <v>79</v>
      </c>
      <c r="D17" s="2" t="s">
        <v>80</v>
      </c>
      <c r="E17" s="2" t="s">
        <v>18</v>
      </c>
      <c r="F17" s="2" t="s">
        <v>17</v>
      </c>
      <c r="G17" s="2"/>
      <c r="H17" s="4"/>
    </row>
    <row r="18" customFormat="false" ht="23.85" hidden="false" customHeight="false" outlineLevel="0" collapsed="false">
      <c r="A18" s="2" t="n">
        <v>17</v>
      </c>
      <c r="B18" s="2" t="s">
        <v>81</v>
      </c>
      <c r="C18" s="2" t="s">
        <v>82</v>
      </c>
      <c r="D18" s="2" t="s">
        <v>83</v>
      </c>
      <c r="E18" s="2" t="s">
        <v>18</v>
      </c>
      <c r="F18" s="2" t="s">
        <v>17</v>
      </c>
      <c r="G18" s="2"/>
      <c r="H18" s="4"/>
    </row>
    <row r="19" customFormat="false" ht="23.85" hidden="false" customHeight="false" outlineLevel="0" collapsed="false">
      <c r="A19" s="2" t="n">
        <v>18</v>
      </c>
      <c r="B19" s="2" t="s">
        <v>84</v>
      </c>
      <c r="C19" s="2" t="s">
        <v>85</v>
      </c>
      <c r="D19" s="2" t="s">
        <v>86</v>
      </c>
      <c r="E19" s="2" t="s">
        <v>20</v>
      </c>
      <c r="F19" s="2" t="s">
        <v>19</v>
      </c>
      <c r="G19" s="2"/>
      <c r="H19" s="4"/>
    </row>
    <row r="20" customFormat="false" ht="23.85" hidden="false" customHeight="false" outlineLevel="0" collapsed="false">
      <c r="A20" s="2" t="n">
        <v>19</v>
      </c>
      <c r="B20" s="2" t="s">
        <v>87</v>
      </c>
      <c r="C20" s="2" t="s">
        <v>88</v>
      </c>
      <c r="D20" s="2" t="s">
        <v>89</v>
      </c>
      <c r="E20" s="2" t="s">
        <v>20</v>
      </c>
      <c r="F20" s="2" t="s">
        <v>19</v>
      </c>
      <c r="G20" s="2"/>
      <c r="H20" s="4"/>
    </row>
    <row r="21" customFormat="false" ht="23.85" hidden="false" customHeight="false" outlineLevel="0" collapsed="false">
      <c r="A21" s="2" t="n">
        <v>20</v>
      </c>
      <c r="B21" s="2" t="s">
        <v>90</v>
      </c>
      <c r="C21" s="2" t="s">
        <v>91</v>
      </c>
      <c r="D21" s="2" t="s">
        <v>92</v>
      </c>
      <c r="E21" s="2" t="s">
        <v>16</v>
      </c>
      <c r="F21" s="2" t="s">
        <v>15</v>
      </c>
      <c r="G21" s="2"/>
      <c r="H21" s="4"/>
    </row>
    <row r="22" customFormat="false" ht="23.85" hidden="false" customHeight="false" outlineLevel="0" collapsed="false">
      <c r="A22" s="2" t="n">
        <v>21</v>
      </c>
      <c r="B22" s="2" t="s">
        <v>93</v>
      </c>
      <c r="C22" s="2" t="s">
        <v>52</v>
      </c>
      <c r="D22" s="2" t="s">
        <v>94</v>
      </c>
      <c r="E22" s="2" t="s">
        <v>18</v>
      </c>
      <c r="F22" s="2" t="s">
        <v>17</v>
      </c>
      <c r="G22" s="2"/>
      <c r="H22" s="4"/>
    </row>
    <row r="23" customFormat="false" ht="23.85" hidden="false" customHeight="false" outlineLevel="0" collapsed="false">
      <c r="A23" s="2" t="n">
        <v>22</v>
      </c>
      <c r="B23" s="2" t="s">
        <v>95</v>
      </c>
      <c r="C23" s="2" t="s">
        <v>96</v>
      </c>
      <c r="D23" s="2" t="s">
        <v>97</v>
      </c>
      <c r="E23" s="2" t="s">
        <v>16</v>
      </c>
      <c r="F23" s="2" t="s">
        <v>15</v>
      </c>
      <c r="G23" s="2"/>
      <c r="H23" s="4"/>
    </row>
    <row r="24" customFormat="false" ht="23.85" hidden="false" customHeight="false" outlineLevel="0" collapsed="false">
      <c r="A24" s="2" t="n">
        <v>23</v>
      </c>
      <c r="B24" s="2" t="s">
        <v>98</v>
      </c>
      <c r="C24" s="2" t="s">
        <v>99</v>
      </c>
      <c r="D24" s="2" t="s">
        <v>100</v>
      </c>
      <c r="E24" s="2" t="s">
        <v>18</v>
      </c>
      <c r="F24" s="2" t="s">
        <v>17</v>
      </c>
      <c r="G24" s="2"/>
      <c r="H24" s="4"/>
    </row>
    <row r="25" customFormat="false" ht="23.85" hidden="false" customHeight="false" outlineLevel="0" collapsed="false">
      <c r="A25" s="5" t="n">
        <v>24</v>
      </c>
      <c r="B25" s="5" t="s">
        <v>101</v>
      </c>
      <c r="C25" s="5" t="s">
        <v>102</v>
      </c>
      <c r="D25" s="5" t="s">
        <v>103</v>
      </c>
      <c r="E25" s="5" t="s">
        <v>14</v>
      </c>
      <c r="F25" s="5" t="s">
        <v>13</v>
      </c>
      <c r="G25" s="5"/>
      <c r="H25" s="4"/>
    </row>
    <row r="26" customFormat="false" ht="23.85" hidden="false" customHeight="false" outlineLevel="0" collapsed="false">
      <c r="A26" s="2" t="n">
        <v>25</v>
      </c>
      <c r="B26" s="2" t="s">
        <v>104</v>
      </c>
      <c r="C26" s="2" t="s">
        <v>105</v>
      </c>
      <c r="D26" s="2" t="s">
        <v>106</v>
      </c>
      <c r="E26" s="2" t="s">
        <v>18</v>
      </c>
      <c r="F26" s="2" t="s">
        <v>17</v>
      </c>
      <c r="G26" s="2"/>
      <c r="H26" s="4"/>
    </row>
    <row r="27" customFormat="false" ht="23.85" hidden="false" customHeight="false" outlineLevel="0" collapsed="false">
      <c r="A27" s="2" t="n">
        <v>26</v>
      </c>
      <c r="B27" s="2" t="s">
        <v>107</v>
      </c>
      <c r="C27" s="2" t="s">
        <v>46</v>
      </c>
      <c r="D27" s="2" t="s">
        <v>108</v>
      </c>
      <c r="E27" s="2" t="s">
        <v>20</v>
      </c>
      <c r="F27" s="2" t="s">
        <v>19</v>
      </c>
      <c r="G27" s="2"/>
      <c r="H27" s="4"/>
    </row>
    <row r="28" customFormat="false" ht="23.85" hidden="false" customHeight="false" outlineLevel="0" collapsed="false">
      <c r="A28" s="2" t="n">
        <v>27</v>
      </c>
      <c r="B28" s="2" t="s">
        <v>109</v>
      </c>
      <c r="C28" s="2" t="s">
        <v>110</v>
      </c>
      <c r="D28" s="2" t="s">
        <v>111</v>
      </c>
      <c r="E28" s="2" t="s">
        <v>18</v>
      </c>
      <c r="F28" s="2" t="s">
        <v>17</v>
      </c>
      <c r="G28" s="2"/>
      <c r="H28" s="4"/>
    </row>
    <row r="29" customFormat="false" ht="23.85" hidden="false" customHeight="false" outlineLevel="0" collapsed="false">
      <c r="A29" s="2" t="n">
        <v>28</v>
      </c>
      <c r="B29" s="2" t="s">
        <v>112</v>
      </c>
      <c r="C29" s="2" t="s">
        <v>113</v>
      </c>
      <c r="D29" s="2" t="s">
        <v>114</v>
      </c>
      <c r="E29" s="2" t="s">
        <v>24</v>
      </c>
      <c r="F29" s="2" t="s">
        <v>23</v>
      </c>
      <c r="G29" s="2"/>
      <c r="H29" s="4"/>
    </row>
    <row r="30" customFormat="false" ht="23.85" hidden="false" customHeight="false" outlineLevel="0" collapsed="false">
      <c r="A30" s="2" t="n">
        <v>29</v>
      </c>
      <c r="B30" s="2" t="s">
        <v>115</v>
      </c>
      <c r="C30" s="2" t="s">
        <v>116</v>
      </c>
      <c r="D30" s="2" t="s">
        <v>117</v>
      </c>
      <c r="E30" s="2" t="s">
        <v>18</v>
      </c>
      <c r="F30" s="2" t="s">
        <v>17</v>
      </c>
      <c r="G30" s="2"/>
      <c r="H30" s="4"/>
    </row>
    <row r="31" customFormat="false" ht="23.85" hidden="false" customHeight="false" outlineLevel="0" collapsed="false">
      <c r="A31" s="5" t="n">
        <v>30</v>
      </c>
      <c r="B31" s="5" t="s">
        <v>118</v>
      </c>
      <c r="C31" s="5" t="s">
        <v>119</v>
      </c>
      <c r="D31" s="5" t="s">
        <v>120</v>
      </c>
      <c r="E31" s="5" t="s">
        <v>14</v>
      </c>
      <c r="F31" s="5" t="s">
        <v>13</v>
      </c>
      <c r="G31" s="5"/>
      <c r="H31" s="4"/>
    </row>
    <row r="32" customFormat="false" ht="23.85" hidden="false" customHeight="false" outlineLevel="0" collapsed="false">
      <c r="A32" s="2" t="n">
        <v>31</v>
      </c>
      <c r="B32" s="2" t="s">
        <v>121</v>
      </c>
      <c r="C32" s="2" t="s">
        <v>122</v>
      </c>
      <c r="D32" s="2" t="s">
        <v>123</v>
      </c>
      <c r="E32" s="2" t="s">
        <v>24</v>
      </c>
      <c r="F32" s="2" t="s">
        <v>23</v>
      </c>
      <c r="G32" s="2"/>
      <c r="H32" s="4"/>
    </row>
    <row r="33" customFormat="false" ht="23.85" hidden="false" customHeight="false" outlineLevel="0" collapsed="false">
      <c r="A33" s="2" t="n">
        <v>32</v>
      </c>
      <c r="B33" s="2" t="s">
        <v>124</v>
      </c>
      <c r="C33" s="2" t="s">
        <v>125</v>
      </c>
      <c r="D33" s="2" t="s">
        <v>126</v>
      </c>
      <c r="E33" s="2" t="s">
        <v>24</v>
      </c>
      <c r="F33" s="2" t="s">
        <v>23</v>
      </c>
      <c r="G33" s="2"/>
      <c r="H33" s="4"/>
    </row>
    <row r="34" customFormat="false" ht="23.85" hidden="false" customHeight="false" outlineLevel="0" collapsed="false">
      <c r="A34" s="2" t="n">
        <v>33</v>
      </c>
      <c r="B34" s="2" t="s">
        <v>127</v>
      </c>
      <c r="C34" s="2" t="s">
        <v>128</v>
      </c>
      <c r="D34" s="2" t="s">
        <v>129</v>
      </c>
      <c r="E34" s="2" t="s">
        <v>16</v>
      </c>
      <c r="F34" s="2" t="s">
        <v>15</v>
      </c>
      <c r="G34" s="2"/>
      <c r="H34" s="4"/>
    </row>
    <row r="35" customFormat="false" ht="23.85" hidden="false" customHeight="false" outlineLevel="0" collapsed="false">
      <c r="A35" s="2" t="n">
        <v>34</v>
      </c>
      <c r="B35" s="2" t="s">
        <v>130</v>
      </c>
      <c r="C35" s="2" t="s">
        <v>131</v>
      </c>
      <c r="D35" s="2" t="s">
        <v>132</v>
      </c>
      <c r="E35" s="2" t="s">
        <v>18</v>
      </c>
      <c r="F35" s="2" t="s">
        <v>17</v>
      </c>
      <c r="G35" s="2"/>
      <c r="H35" s="4"/>
    </row>
    <row r="36" customFormat="false" ht="23.85" hidden="false" customHeight="false" outlineLevel="0" collapsed="false">
      <c r="A36" s="5" t="n">
        <v>35</v>
      </c>
      <c r="B36" s="5" t="s">
        <v>133</v>
      </c>
      <c r="C36" s="5" t="s">
        <v>134</v>
      </c>
      <c r="D36" s="5" t="s">
        <v>135</v>
      </c>
      <c r="E36" s="5" t="s">
        <v>14</v>
      </c>
      <c r="F36" s="5" t="s">
        <v>13</v>
      </c>
      <c r="G36" s="5"/>
      <c r="H36" s="4"/>
    </row>
    <row r="37" customFormat="false" ht="23.85" hidden="false" customHeight="false" outlineLevel="0" collapsed="false">
      <c r="A37" s="2" t="n">
        <v>36</v>
      </c>
      <c r="B37" s="2" t="s">
        <v>136</v>
      </c>
      <c r="C37" s="2" t="s">
        <v>88</v>
      </c>
      <c r="D37" s="2" t="s">
        <v>137</v>
      </c>
      <c r="E37" s="2" t="s">
        <v>18</v>
      </c>
      <c r="F37" s="2" t="s">
        <v>17</v>
      </c>
      <c r="G37" s="2"/>
      <c r="H37" s="4"/>
    </row>
    <row r="38" customFormat="false" ht="35.05" hidden="false" customHeight="false" outlineLevel="0" collapsed="false">
      <c r="A38" s="2" t="n">
        <v>37</v>
      </c>
      <c r="B38" s="2" t="s">
        <v>138</v>
      </c>
      <c r="C38" s="2" t="s">
        <v>139</v>
      </c>
      <c r="D38" s="2" t="s">
        <v>140</v>
      </c>
      <c r="E38" s="2" t="s">
        <v>18</v>
      </c>
      <c r="F38" s="2" t="s">
        <v>17</v>
      </c>
      <c r="G38" s="2"/>
      <c r="H38" s="4"/>
    </row>
    <row r="39" customFormat="false" ht="23.85" hidden="false" customHeight="false" outlineLevel="0" collapsed="false">
      <c r="A39" s="2" t="n">
        <v>38</v>
      </c>
      <c r="B39" s="2" t="s">
        <v>141</v>
      </c>
      <c r="C39" s="2" t="s">
        <v>142</v>
      </c>
      <c r="D39" s="2" t="s">
        <v>143</v>
      </c>
      <c r="E39" s="2" t="s">
        <v>18</v>
      </c>
      <c r="F39" s="2" t="s">
        <v>17</v>
      </c>
      <c r="G39" s="2"/>
      <c r="H39" s="4"/>
    </row>
    <row r="40" customFormat="false" ht="23.85" hidden="false" customHeight="false" outlineLevel="0" collapsed="false">
      <c r="A40" s="2" t="n">
        <v>39</v>
      </c>
      <c r="B40" s="2" t="s">
        <v>144</v>
      </c>
      <c r="C40" s="2" t="s">
        <v>145</v>
      </c>
      <c r="D40" s="2" t="s">
        <v>146</v>
      </c>
      <c r="E40" s="2" t="s">
        <v>20</v>
      </c>
      <c r="F40" s="2" t="s">
        <v>19</v>
      </c>
      <c r="G40" s="2"/>
      <c r="H40" s="4"/>
    </row>
    <row r="41" customFormat="false" ht="23.85" hidden="false" customHeight="false" outlineLevel="0" collapsed="false">
      <c r="A41" s="2" t="n">
        <v>40</v>
      </c>
      <c r="B41" s="2" t="s">
        <v>147</v>
      </c>
      <c r="C41" s="2" t="s">
        <v>148</v>
      </c>
      <c r="D41" s="2" t="s">
        <v>149</v>
      </c>
      <c r="E41" s="2" t="s">
        <v>20</v>
      </c>
      <c r="F41" s="2" t="s">
        <v>19</v>
      </c>
      <c r="G41" s="2"/>
      <c r="H41" s="4"/>
    </row>
    <row r="42" customFormat="false" ht="23.85" hidden="false" customHeight="false" outlineLevel="0" collapsed="false">
      <c r="A42" s="2" t="n">
        <v>41</v>
      </c>
      <c r="B42" s="2" t="s">
        <v>150</v>
      </c>
      <c r="C42" s="2" t="s">
        <v>46</v>
      </c>
      <c r="D42" s="2" t="s">
        <v>151</v>
      </c>
      <c r="E42" s="2" t="s">
        <v>18</v>
      </c>
      <c r="F42" s="2" t="s">
        <v>17</v>
      </c>
      <c r="G42" s="2"/>
      <c r="H42" s="4"/>
    </row>
    <row r="43" customFormat="false" ht="23.85" hidden="false" customHeight="false" outlineLevel="0" collapsed="false">
      <c r="A43" s="2" t="n">
        <v>42</v>
      </c>
      <c r="B43" s="2" t="s">
        <v>152</v>
      </c>
      <c r="C43" s="2" t="s">
        <v>153</v>
      </c>
      <c r="D43" s="2" t="s">
        <v>154</v>
      </c>
      <c r="E43" s="2" t="s">
        <v>20</v>
      </c>
      <c r="F43" s="2" t="s">
        <v>19</v>
      </c>
      <c r="G43" s="2"/>
      <c r="H43" s="4"/>
    </row>
    <row r="44" customFormat="false" ht="23.85" hidden="false" customHeight="false" outlineLevel="0" collapsed="false">
      <c r="A44" s="2" t="n">
        <v>43</v>
      </c>
      <c r="B44" s="2" t="s">
        <v>155</v>
      </c>
      <c r="C44" s="2" t="s">
        <v>85</v>
      </c>
      <c r="D44" s="2" t="s">
        <v>156</v>
      </c>
      <c r="E44" s="2" t="s">
        <v>20</v>
      </c>
      <c r="F44" s="2" t="s">
        <v>19</v>
      </c>
      <c r="G44" s="2"/>
      <c r="H44" s="4"/>
    </row>
    <row r="45" customFormat="false" ht="23.85" hidden="false" customHeight="false" outlineLevel="0" collapsed="false">
      <c r="A45" s="2" t="n">
        <v>44</v>
      </c>
      <c r="B45" s="2" t="s">
        <v>157</v>
      </c>
      <c r="C45" s="2" t="s">
        <v>119</v>
      </c>
      <c r="D45" s="2" t="s">
        <v>158</v>
      </c>
      <c r="E45" s="2" t="s">
        <v>18</v>
      </c>
      <c r="F45" s="2" t="s">
        <v>17</v>
      </c>
      <c r="G45" s="2"/>
      <c r="H45" s="4"/>
    </row>
    <row r="46" customFormat="false" ht="23.85" hidden="false" customHeight="false" outlineLevel="0" collapsed="false">
      <c r="A46" s="2" t="n">
        <v>45</v>
      </c>
      <c r="B46" s="2" t="s">
        <v>159</v>
      </c>
      <c r="C46" s="2" t="s">
        <v>160</v>
      </c>
      <c r="D46" s="2" t="s">
        <v>161</v>
      </c>
      <c r="E46" s="2" t="s">
        <v>20</v>
      </c>
      <c r="F46" s="2" t="s">
        <v>19</v>
      </c>
      <c r="G46" s="2"/>
      <c r="H46" s="4"/>
    </row>
    <row r="47" customFormat="false" ht="23.85" hidden="false" customHeight="false" outlineLevel="0" collapsed="false">
      <c r="A47" s="2" t="n">
        <v>46</v>
      </c>
      <c r="B47" s="2" t="s">
        <v>162</v>
      </c>
      <c r="C47" s="2" t="s">
        <v>67</v>
      </c>
      <c r="D47" s="2" t="s">
        <v>163</v>
      </c>
      <c r="E47" s="2" t="s">
        <v>18</v>
      </c>
      <c r="F47" s="2" t="s">
        <v>17</v>
      </c>
      <c r="G47" s="2"/>
      <c r="H47" s="4"/>
    </row>
    <row r="48" customFormat="false" ht="23.85" hidden="false" customHeight="false" outlineLevel="0" collapsed="false">
      <c r="A48" s="2" t="n">
        <v>47</v>
      </c>
      <c r="B48" s="2" t="s">
        <v>164</v>
      </c>
      <c r="C48" s="2" t="s">
        <v>165</v>
      </c>
      <c r="D48" s="2" t="s">
        <v>166</v>
      </c>
      <c r="E48" s="2" t="s">
        <v>18</v>
      </c>
      <c r="F48" s="2" t="s">
        <v>17</v>
      </c>
      <c r="G48" s="2"/>
      <c r="H48" s="4"/>
    </row>
    <row r="49" customFormat="false" ht="23.85" hidden="false" customHeight="false" outlineLevel="0" collapsed="false">
      <c r="A49" s="2" t="n">
        <v>48</v>
      </c>
      <c r="B49" s="2" t="s">
        <v>167</v>
      </c>
      <c r="C49" s="2" t="s">
        <v>168</v>
      </c>
      <c r="D49" s="2" t="s">
        <v>169</v>
      </c>
      <c r="E49" s="2" t="s">
        <v>20</v>
      </c>
      <c r="F49" s="2" t="s">
        <v>19</v>
      </c>
      <c r="G49" s="2"/>
      <c r="H49" s="4"/>
    </row>
    <row r="50" customFormat="false" ht="23.85" hidden="false" customHeight="false" outlineLevel="0" collapsed="false">
      <c r="A50" s="5" t="n">
        <v>49</v>
      </c>
      <c r="B50" s="5" t="s">
        <v>170</v>
      </c>
      <c r="C50" s="5" t="s">
        <v>171</v>
      </c>
      <c r="D50" s="5" t="s">
        <v>172</v>
      </c>
      <c r="E50" s="5" t="s">
        <v>14</v>
      </c>
      <c r="F50" s="5" t="s">
        <v>13</v>
      </c>
      <c r="G50" s="5"/>
      <c r="H50" s="4"/>
    </row>
    <row r="51" customFormat="false" ht="23.85" hidden="false" customHeight="false" outlineLevel="0" collapsed="false">
      <c r="A51" s="2" t="n">
        <v>50</v>
      </c>
      <c r="B51" s="2" t="s">
        <v>173</v>
      </c>
      <c r="C51" s="2" t="s">
        <v>174</v>
      </c>
      <c r="D51" s="2" t="s">
        <v>175</v>
      </c>
      <c r="E51" s="2" t="s">
        <v>22</v>
      </c>
      <c r="F51" s="2" t="s">
        <v>21</v>
      </c>
      <c r="G51" s="2"/>
      <c r="H51" s="4"/>
    </row>
    <row r="52" customFormat="false" ht="23.85" hidden="false" customHeight="false" outlineLevel="0" collapsed="false">
      <c r="A52" s="2" t="n">
        <v>51</v>
      </c>
      <c r="B52" s="2" t="s">
        <v>176</v>
      </c>
      <c r="C52" s="2" t="s">
        <v>145</v>
      </c>
      <c r="D52" s="2" t="s">
        <v>177</v>
      </c>
      <c r="E52" s="2" t="s">
        <v>18</v>
      </c>
      <c r="F52" s="2" t="s">
        <v>17</v>
      </c>
      <c r="G52" s="2"/>
      <c r="H52" s="4"/>
    </row>
    <row r="53" customFormat="false" ht="35.05" hidden="false" customHeight="false" outlineLevel="0" collapsed="false">
      <c r="A53" s="5" t="n">
        <v>52</v>
      </c>
      <c r="B53" s="5" t="s">
        <v>178</v>
      </c>
      <c r="C53" s="5" t="s">
        <v>179</v>
      </c>
      <c r="D53" s="5" t="s">
        <v>180</v>
      </c>
      <c r="E53" s="5" t="s">
        <v>14</v>
      </c>
      <c r="F53" s="5" t="s">
        <v>13</v>
      </c>
      <c r="G53" s="5"/>
      <c r="H53" s="4"/>
    </row>
    <row r="54" customFormat="false" ht="23.85" hidden="false" customHeight="false" outlineLevel="0" collapsed="false">
      <c r="A54" s="2" t="n">
        <v>53</v>
      </c>
      <c r="B54" s="2" t="s">
        <v>181</v>
      </c>
      <c r="C54" s="2" t="s">
        <v>179</v>
      </c>
      <c r="D54" s="2" t="s">
        <v>182</v>
      </c>
      <c r="E54" s="2" t="s">
        <v>24</v>
      </c>
      <c r="F54" s="2" t="s">
        <v>23</v>
      </c>
      <c r="G54" s="2"/>
      <c r="H54" s="4"/>
    </row>
    <row r="55" customFormat="false" ht="23.85" hidden="false" customHeight="false" outlineLevel="0" collapsed="false">
      <c r="A55" s="2" t="n">
        <v>54</v>
      </c>
      <c r="B55" s="2" t="s">
        <v>183</v>
      </c>
      <c r="C55" s="2" t="s">
        <v>184</v>
      </c>
      <c r="D55" s="2" t="s">
        <v>185</v>
      </c>
      <c r="E55" s="2" t="s">
        <v>16</v>
      </c>
      <c r="F55" s="2" t="s">
        <v>15</v>
      </c>
      <c r="G55" s="2"/>
      <c r="H55" s="4"/>
    </row>
    <row r="56" customFormat="false" ht="23.85" hidden="false" customHeight="false" outlineLevel="0" collapsed="false">
      <c r="A56" s="2" t="n">
        <v>55</v>
      </c>
      <c r="B56" s="2" t="s">
        <v>186</v>
      </c>
      <c r="C56" s="2" t="s">
        <v>187</v>
      </c>
      <c r="D56" s="2" t="s">
        <v>188</v>
      </c>
      <c r="E56" s="2" t="s">
        <v>16</v>
      </c>
      <c r="F56" s="2" t="s">
        <v>15</v>
      </c>
      <c r="G56" s="2"/>
      <c r="H56" s="4"/>
    </row>
    <row r="57" customFormat="false" ht="23.85" hidden="false" customHeight="false" outlineLevel="0" collapsed="false">
      <c r="A57" s="2" t="n">
        <v>56</v>
      </c>
      <c r="B57" s="2" t="s">
        <v>189</v>
      </c>
      <c r="C57" s="2" t="s">
        <v>190</v>
      </c>
      <c r="D57" s="2" t="s">
        <v>191</v>
      </c>
      <c r="E57" s="2" t="s">
        <v>18</v>
      </c>
      <c r="F57" s="2" t="s">
        <v>17</v>
      </c>
      <c r="G57" s="2"/>
      <c r="H57" s="4"/>
    </row>
    <row r="58" customFormat="false" ht="23.85" hidden="false" customHeight="false" outlineLevel="0" collapsed="false">
      <c r="A58" s="2" t="n">
        <v>57</v>
      </c>
      <c r="B58" s="2" t="s">
        <v>192</v>
      </c>
      <c r="C58" s="2" t="s">
        <v>193</v>
      </c>
      <c r="D58" s="2" t="s">
        <v>194</v>
      </c>
      <c r="E58" s="2" t="s">
        <v>20</v>
      </c>
      <c r="F58" s="2" t="s">
        <v>19</v>
      </c>
      <c r="G58" s="2"/>
      <c r="H58" s="4"/>
    </row>
    <row r="59" customFormat="false" ht="23.85" hidden="false" customHeight="false" outlineLevel="0" collapsed="false">
      <c r="A59" s="5" t="n">
        <v>58</v>
      </c>
      <c r="B59" s="5" t="s">
        <v>195</v>
      </c>
      <c r="C59" s="5" t="s">
        <v>196</v>
      </c>
      <c r="D59" s="5" t="s">
        <v>197</v>
      </c>
      <c r="E59" s="5" t="s">
        <v>14</v>
      </c>
      <c r="F59" s="5" t="s">
        <v>13</v>
      </c>
      <c r="G59" s="5"/>
      <c r="H59" s="4"/>
    </row>
    <row r="60" customFormat="false" ht="23.85" hidden="false" customHeight="false" outlineLevel="0" collapsed="false">
      <c r="A60" s="2" t="n">
        <v>59</v>
      </c>
      <c r="B60" s="2" t="s">
        <v>198</v>
      </c>
      <c r="C60" s="2" t="s">
        <v>199</v>
      </c>
      <c r="D60" s="2" t="s">
        <v>200</v>
      </c>
      <c r="E60" s="2" t="s">
        <v>24</v>
      </c>
      <c r="F60" s="2" t="s">
        <v>23</v>
      </c>
      <c r="G60" s="2"/>
      <c r="H60" s="4"/>
    </row>
    <row r="61" customFormat="false" ht="23.85" hidden="false" customHeight="false" outlineLevel="0" collapsed="false">
      <c r="A61" s="2" t="n">
        <v>60</v>
      </c>
      <c r="B61" s="2" t="s">
        <v>201</v>
      </c>
      <c r="C61" s="2" t="s">
        <v>202</v>
      </c>
      <c r="D61" s="2" t="s">
        <v>203</v>
      </c>
      <c r="E61" s="2" t="s">
        <v>16</v>
      </c>
      <c r="F61" s="2" t="s">
        <v>15</v>
      </c>
      <c r="G61" s="2"/>
      <c r="H61" s="4"/>
    </row>
    <row r="62" customFormat="false" ht="23.85" hidden="false" customHeight="false" outlineLevel="0" collapsed="false">
      <c r="A62" s="2" t="n">
        <v>61</v>
      </c>
      <c r="B62" s="2" t="s">
        <v>204</v>
      </c>
      <c r="C62" s="2" t="s">
        <v>128</v>
      </c>
      <c r="D62" s="2" t="s">
        <v>205</v>
      </c>
      <c r="E62" s="2" t="s">
        <v>16</v>
      </c>
      <c r="F62" s="2" t="s">
        <v>15</v>
      </c>
      <c r="G62" s="2"/>
      <c r="H62" s="4"/>
    </row>
    <row r="63" customFormat="false" ht="23.85" hidden="false" customHeight="false" outlineLevel="0" collapsed="false">
      <c r="A63" s="5" t="n">
        <v>62</v>
      </c>
      <c r="B63" s="5" t="s">
        <v>206</v>
      </c>
      <c r="C63" s="5" t="s">
        <v>67</v>
      </c>
      <c r="D63" s="5" t="s">
        <v>207</v>
      </c>
      <c r="E63" s="5" t="s">
        <v>14</v>
      </c>
      <c r="F63" s="5" t="s">
        <v>13</v>
      </c>
      <c r="G63" s="5"/>
      <c r="H63" s="4"/>
    </row>
    <row r="64" customFormat="false" ht="35.05" hidden="false" customHeight="false" outlineLevel="0" collapsed="false">
      <c r="A64" s="2" t="n">
        <v>63</v>
      </c>
      <c r="B64" s="2" t="s">
        <v>208</v>
      </c>
      <c r="C64" s="2" t="s">
        <v>209</v>
      </c>
      <c r="D64" s="2" t="s">
        <v>210</v>
      </c>
      <c r="E64" s="2" t="s">
        <v>20</v>
      </c>
      <c r="F64" s="2" t="s">
        <v>19</v>
      </c>
      <c r="G64" s="2"/>
      <c r="H64" s="4"/>
    </row>
    <row r="65" customFormat="false" ht="23.85" hidden="false" customHeight="false" outlineLevel="0" collapsed="false">
      <c r="A65" s="2" t="n">
        <v>64</v>
      </c>
      <c r="B65" s="2" t="s">
        <v>211</v>
      </c>
      <c r="C65" s="2" t="s">
        <v>52</v>
      </c>
      <c r="D65" s="2" t="s">
        <v>212</v>
      </c>
      <c r="E65" s="2" t="s">
        <v>16</v>
      </c>
      <c r="F65" s="2" t="s">
        <v>15</v>
      </c>
      <c r="G65" s="2"/>
      <c r="H65" s="4"/>
    </row>
    <row r="66" customFormat="false" ht="23.85" hidden="false" customHeight="false" outlineLevel="0" collapsed="false">
      <c r="A66" s="5" t="n">
        <v>65</v>
      </c>
      <c r="B66" s="5" t="s">
        <v>213</v>
      </c>
      <c r="C66" s="5" t="s">
        <v>46</v>
      </c>
      <c r="D66" s="5" t="s">
        <v>214</v>
      </c>
      <c r="E66" s="5" t="s">
        <v>14</v>
      </c>
      <c r="F66" s="5" t="s">
        <v>13</v>
      </c>
      <c r="G66" s="5"/>
      <c r="H66" s="4"/>
    </row>
    <row r="67" customFormat="false" ht="23.85" hidden="false" customHeight="false" outlineLevel="0" collapsed="false">
      <c r="A67" s="2" t="n">
        <v>66</v>
      </c>
      <c r="B67" s="2" t="s">
        <v>215</v>
      </c>
      <c r="C67" s="2" t="s">
        <v>171</v>
      </c>
      <c r="D67" s="2" t="s">
        <v>216</v>
      </c>
      <c r="E67" s="2" t="s">
        <v>20</v>
      </c>
      <c r="F67" s="2" t="s">
        <v>19</v>
      </c>
      <c r="G67" s="2"/>
      <c r="H67" s="4"/>
    </row>
    <row r="68" customFormat="false" ht="23.85" hidden="false" customHeight="false" outlineLevel="0" collapsed="false">
      <c r="A68" s="2" t="n">
        <v>67</v>
      </c>
      <c r="B68" s="2" t="s">
        <v>217</v>
      </c>
      <c r="C68" s="2" t="s">
        <v>218</v>
      </c>
      <c r="D68" s="2" t="s">
        <v>219</v>
      </c>
      <c r="E68" s="2" t="s">
        <v>24</v>
      </c>
      <c r="F68" s="2" t="s">
        <v>23</v>
      </c>
      <c r="G68" s="2"/>
      <c r="H68" s="4"/>
    </row>
    <row r="69" customFormat="false" ht="35.05" hidden="false" customHeight="false" outlineLevel="0" collapsed="false">
      <c r="A69" s="5" t="n">
        <v>68</v>
      </c>
      <c r="B69" s="5" t="s">
        <v>220</v>
      </c>
      <c r="C69" s="5" t="s">
        <v>221</v>
      </c>
      <c r="D69" s="5" t="s">
        <v>222</v>
      </c>
      <c r="E69" s="5" t="s">
        <v>14</v>
      </c>
      <c r="F69" s="5" t="s">
        <v>13</v>
      </c>
      <c r="G69" s="5"/>
      <c r="H69" s="4"/>
    </row>
    <row r="70" customFormat="false" ht="23.85" hidden="false" customHeight="false" outlineLevel="0" collapsed="false">
      <c r="A70" s="2" t="n">
        <v>69</v>
      </c>
      <c r="B70" s="2" t="s">
        <v>223</v>
      </c>
      <c r="C70" s="2" t="s">
        <v>224</v>
      </c>
      <c r="D70" s="2" t="s">
        <v>225</v>
      </c>
      <c r="E70" s="2" t="s">
        <v>20</v>
      </c>
      <c r="F70" s="2" t="s">
        <v>19</v>
      </c>
      <c r="G70" s="2"/>
      <c r="H70" s="4"/>
    </row>
    <row r="71" customFormat="false" ht="23.85" hidden="false" customHeight="false" outlineLevel="0" collapsed="false">
      <c r="A71" s="2" t="n">
        <v>70</v>
      </c>
      <c r="B71" s="2" t="s">
        <v>226</v>
      </c>
      <c r="C71" s="2" t="s">
        <v>227</v>
      </c>
      <c r="D71" s="2" t="s">
        <v>228</v>
      </c>
      <c r="E71" s="2" t="s">
        <v>16</v>
      </c>
      <c r="F71" s="2" t="s">
        <v>15</v>
      </c>
      <c r="G71" s="2"/>
      <c r="H71" s="4"/>
    </row>
    <row r="72" customFormat="false" ht="23.85" hidden="false" customHeight="false" outlineLevel="0" collapsed="false">
      <c r="A72" s="2" t="n">
        <v>71</v>
      </c>
      <c r="B72" s="2" t="s">
        <v>229</v>
      </c>
      <c r="C72" s="2" t="s">
        <v>230</v>
      </c>
      <c r="D72" s="2" t="s">
        <v>231</v>
      </c>
      <c r="E72" s="2" t="s">
        <v>20</v>
      </c>
      <c r="F72" s="2" t="s">
        <v>19</v>
      </c>
      <c r="G72" s="2"/>
      <c r="H72" s="4"/>
    </row>
    <row r="73" customFormat="false" ht="23.85" hidden="false" customHeight="false" outlineLevel="0" collapsed="false">
      <c r="A73" s="2" t="n">
        <v>72</v>
      </c>
      <c r="B73" s="2" t="s">
        <v>232</v>
      </c>
      <c r="C73" s="2" t="s">
        <v>179</v>
      </c>
      <c r="D73" s="2" t="s">
        <v>233</v>
      </c>
      <c r="E73" s="2" t="s">
        <v>16</v>
      </c>
      <c r="F73" s="2" t="s">
        <v>15</v>
      </c>
      <c r="G73" s="2"/>
      <c r="H73" s="4"/>
    </row>
    <row r="74" customFormat="false" ht="23.85" hidden="false" customHeight="false" outlineLevel="0" collapsed="false">
      <c r="A74" s="2" t="n">
        <v>73</v>
      </c>
      <c r="B74" s="2" t="s">
        <v>234</v>
      </c>
      <c r="C74" s="2" t="s">
        <v>235</v>
      </c>
      <c r="D74" s="2" t="s">
        <v>236</v>
      </c>
      <c r="E74" s="2" t="s">
        <v>16</v>
      </c>
      <c r="F74" s="2" t="s">
        <v>15</v>
      </c>
      <c r="G74" s="2"/>
      <c r="H74" s="4"/>
    </row>
    <row r="75" customFormat="false" ht="23.85" hidden="false" customHeight="false" outlineLevel="0" collapsed="false">
      <c r="A75" s="2" t="n">
        <v>74</v>
      </c>
      <c r="B75" s="2" t="s">
        <v>237</v>
      </c>
      <c r="C75" s="2" t="s">
        <v>79</v>
      </c>
      <c r="D75" s="2" t="s">
        <v>238</v>
      </c>
      <c r="E75" s="2" t="s">
        <v>20</v>
      </c>
      <c r="F75" s="2" t="s">
        <v>19</v>
      </c>
      <c r="G75" s="2"/>
      <c r="H75" s="4"/>
    </row>
    <row r="76" customFormat="false" ht="23.85" hidden="false" customHeight="false" outlineLevel="0" collapsed="false">
      <c r="A76" s="2" t="n">
        <v>75</v>
      </c>
      <c r="B76" s="2" t="s">
        <v>239</v>
      </c>
      <c r="C76" s="2" t="s">
        <v>240</v>
      </c>
      <c r="D76" s="2" t="s">
        <v>241</v>
      </c>
      <c r="E76" s="2" t="s">
        <v>20</v>
      </c>
      <c r="F76" s="2" t="s">
        <v>19</v>
      </c>
      <c r="G76" s="2"/>
      <c r="H76" s="4"/>
    </row>
    <row r="77" customFormat="false" ht="23.85" hidden="false" customHeight="false" outlineLevel="0" collapsed="false">
      <c r="A77" s="2" t="n">
        <v>76</v>
      </c>
      <c r="B77" s="2" t="s">
        <v>242</v>
      </c>
      <c r="C77" s="2" t="s">
        <v>243</v>
      </c>
      <c r="D77" s="2" t="s">
        <v>244</v>
      </c>
      <c r="E77" s="2" t="s">
        <v>18</v>
      </c>
      <c r="F77" s="2" t="s">
        <v>17</v>
      </c>
      <c r="G77" s="2"/>
      <c r="H77" s="4"/>
    </row>
    <row r="78" customFormat="false" ht="23.85" hidden="false" customHeight="false" outlineLevel="0" collapsed="false">
      <c r="A78" s="2" t="n">
        <v>77</v>
      </c>
      <c r="B78" s="2" t="s">
        <v>245</v>
      </c>
      <c r="C78" s="2" t="s">
        <v>246</v>
      </c>
      <c r="D78" s="2" t="s">
        <v>247</v>
      </c>
      <c r="E78" s="2" t="s">
        <v>22</v>
      </c>
      <c r="F78" s="2" t="s">
        <v>21</v>
      </c>
      <c r="G78" s="2"/>
      <c r="H78" s="4"/>
    </row>
    <row r="79" customFormat="false" ht="23.85" hidden="false" customHeight="false" outlineLevel="0" collapsed="false">
      <c r="A79" s="2" t="n">
        <v>78</v>
      </c>
      <c r="B79" s="2" t="s">
        <v>248</v>
      </c>
      <c r="C79" s="2" t="s">
        <v>249</v>
      </c>
      <c r="D79" s="2" t="s">
        <v>250</v>
      </c>
      <c r="E79" s="2" t="s">
        <v>18</v>
      </c>
      <c r="F79" s="2" t="s">
        <v>17</v>
      </c>
      <c r="G79" s="2"/>
      <c r="H79" s="4"/>
    </row>
    <row r="80" customFormat="false" ht="35.05" hidden="false" customHeight="false" outlineLevel="0" collapsed="false">
      <c r="A80" s="2" t="n">
        <v>79</v>
      </c>
      <c r="B80" s="2" t="s">
        <v>251</v>
      </c>
      <c r="C80" s="2" t="s">
        <v>139</v>
      </c>
      <c r="D80" s="2" t="s">
        <v>252</v>
      </c>
      <c r="E80" s="2" t="s">
        <v>18</v>
      </c>
      <c r="F80" s="2" t="s">
        <v>17</v>
      </c>
      <c r="G80" s="2"/>
      <c r="H80" s="4"/>
    </row>
    <row r="81" customFormat="false" ht="23.85" hidden="false" customHeight="false" outlineLevel="0" collapsed="false">
      <c r="A81" s="2" t="n">
        <v>80</v>
      </c>
      <c r="B81" s="2" t="s">
        <v>253</v>
      </c>
      <c r="C81" s="2" t="s">
        <v>67</v>
      </c>
      <c r="D81" s="2" t="s">
        <v>254</v>
      </c>
      <c r="E81" s="2" t="s">
        <v>20</v>
      </c>
      <c r="F81" s="2" t="s">
        <v>19</v>
      </c>
      <c r="G81" s="2"/>
      <c r="H81" s="4"/>
    </row>
    <row r="82" customFormat="false" ht="23.85" hidden="false" customHeight="false" outlineLevel="0" collapsed="false">
      <c r="A82" s="2" t="n">
        <v>81</v>
      </c>
      <c r="B82" s="2" t="s">
        <v>255</v>
      </c>
      <c r="C82" s="2" t="s">
        <v>256</v>
      </c>
      <c r="D82" s="2" t="s">
        <v>257</v>
      </c>
      <c r="E82" s="2" t="s">
        <v>20</v>
      </c>
      <c r="F82" s="2" t="s">
        <v>19</v>
      </c>
      <c r="G82" s="2"/>
      <c r="H82" s="4"/>
    </row>
    <row r="83" customFormat="false" ht="23.85" hidden="false" customHeight="false" outlineLevel="0" collapsed="false">
      <c r="A83" s="2" t="n">
        <v>82</v>
      </c>
      <c r="B83" s="2" t="s">
        <v>258</v>
      </c>
      <c r="C83" s="2" t="s">
        <v>259</v>
      </c>
      <c r="D83" s="2" t="s">
        <v>260</v>
      </c>
      <c r="E83" s="2" t="s">
        <v>20</v>
      </c>
      <c r="F83" s="2" t="s">
        <v>19</v>
      </c>
      <c r="G83" s="2"/>
      <c r="H83" s="4"/>
    </row>
    <row r="84" customFormat="false" ht="23.85" hidden="false" customHeight="false" outlineLevel="0" collapsed="false">
      <c r="A84" s="2" t="n">
        <v>83</v>
      </c>
      <c r="B84" s="2" t="s">
        <v>261</v>
      </c>
      <c r="C84" s="2" t="s">
        <v>262</v>
      </c>
      <c r="D84" s="2" t="s">
        <v>263</v>
      </c>
      <c r="E84" s="2" t="s">
        <v>18</v>
      </c>
      <c r="F84" s="2" t="s">
        <v>17</v>
      </c>
      <c r="G84" s="2"/>
      <c r="H84" s="4"/>
    </row>
    <row r="85" customFormat="false" ht="23.85" hidden="false" customHeight="false" outlineLevel="0" collapsed="false">
      <c r="A85" s="2" t="n">
        <v>84</v>
      </c>
      <c r="B85" s="2" t="s">
        <v>264</v>
      </c>
      <c r="C85" s="2" t="s">
        <v>79</v>
      </c>
      <c r="D85" s="2" t="s">
        <v>265</v>
      </c>
      <c r="E85" s="2" t="s">
        <v>20</v>
      </c>
      <c r="F85" s="2" t="s">
        <v>19</v>
      </c>
      <c r="G85" s="2"/>
      <c r="H85" s="4"/>
    </row>
    <row r="86" customFormat="false" ht="23.85" hidden="false" customHeight="false" outlineLevel="0" collapsed="false">
      <c r="A86" s="2" t="n">
        <v>85</v>
      </c>
      <c r="B86" s="2" t="s">
        <v>266</v>
      </c>
      <c r="C86" s="2" t="s">
        <v>267</v>
      </c>
      <c r="D86" s="2" t="s">
        <v>268</v>
      </c>
      <c r="E86" s="2" t="s">
        <v>20</v>
      </c>
      <c r="F86" s="2" t="s">
        <v>19</v>
      </c>
      <c r="G86" s="2"/>
      <c r="H86" s="4"/>
    </row>
    <row r="87" customFormat="false" ht="23.85" hidden="false" customHeight="false" outlineLevel="0" collapsed="false">
      <c r="A87" s="2" t="n">
        <v>86</v>
      </c>
      <c r="B87" s="2" t="s">
        <v>269</v>
      </c>
      <c r="C87" s="2" t="s">
        <v>270</v>
      </c>
      <c r="D87" s="2" t="s">
        <v>271</v>
      </c>
      <c r="E87" s="2" t="s">
        <v>18</v>
      </c>
      <c r="F87" s="2" t="s">
        <v>17</v>
      </c>
      <c r="G87" s="2"/>
      <c r="H87" s="4"/>
    </row>
    <row r="88" customFormat="false" ht="35.05" hidden="false" customHeight="false" outlineLevel="0" collapsed="false">
      <c r="A88" s="5" t="n">
        <v>87</v>
      </c>
      <c r="B88" s="5" t="s">
        <v>272</v>
      </c>
      <c r="C88" s="5" t="s">
        <v>273</v>
      </c>
      <c r="D88" s="5" t="s">
        <v>274</v>
      </c>
      <c r="E88" s="5" t="s">
        <v>14</v>
      </c>
      <c r="F88" s="5" t="s">
        <v>13</v>
      </c>
      <c r="G88" s="5"/>
      <c r="H88" s="4"/>
    </row>
    <row r="89" customFormat="false" ht="23.85" hidden="false" customHeight="false" outlineLevel="0" collapsed="false">
      <c r="A89" s="2" t="n">
        <v>88</v>
      </c>
      <c r="B89" s="2" t="s">
        <v>275</v>
      </c>
      <c r="C89" s="2" t="s">
        <v>67</v>
      </c>
      <c r="D89" s="2" t="s">
        <v>276</v>
      </c>
      <c r="E89" s="2" t="s">
        <v>20</v>
      </c>
      <c r="F89" s="2" t="s">
        <v>19</v>
      </c>
      <c r="G89" s="2"/>
      <c r="H89" s="4"/>
    </row>
    <row r="90" customFormat="false" ht="23.85" hidden="false" customHeight="false" outlineLevel="0" collapsed="false">
      <c r="A90" s="2" t="n">
        <v>89</v>
      </c>
      <c r="B90" s="2" t="s">
        <v>277</v>
      </c>
      <c r="C90" s="2" t="s">
        <v>278</v>
      </c>
      <c r="D90" s="2" t="s">
        <v>279</v>
      </c>
      <c r="E90" s="2" t="s">
        <v>22</v>
      </c>
      <c r="F90" s="2" t="s">
        <v>21</v>
      </c>
      <c r="G90" s="2"/>
      <c r="H90" s="4"/>
    </row>
    <row r="91" customFormat="false" ht="35.05" hidden="false" customHeight="false" outlineLevel="0" collapsed="false">
      <c r="A91" s="2" t="n">
        <v>90</v>
      </c>
      <c r="B91" s="2" t="s">
        <v>280</v>
      </c>
      <c r="C91" s="2" t="s">
        <v>281</v>
      </c>
      <c r="D91" s="2" t="s">
        <v>282</v>
      </c>
      <c r="E91" s="2" t="s">
        <v>20</v>
      </c>
      <c r="F91" s="2" t="s">
        <v>19</v>
      </c>
      <c r="G91" s="2"/>
      <c r="H91" s="4"/>
    </row>
    <row r="92" customFormat="false" ht="23.85" hidden="false" customHeight="false" outlineLevel="0" collapsed="false">
      <c r="A92" s="2" t="n">
        <v>91</v>
      </c>
      <c r="B92" s="2" t="s">
        <v>283</v>
      </c>
      <c r="C92" s="2" t="s">
        <v>179</v>
      </c>
      <c r="D92" s="2" t="s">
        <v>284</v>
      </c>
      <c r="E92" s="2" t="s">
        <v>18</v>
      </c>
      <c r="F92" s="2" t="s">
        <v>17</v>
      </c>
      <c r="G92" s="2"/>
      <c r="H92" s="4"/>
    </row>
    <row r="93" customFormat="false" ht="23.85" hidden="false" customHeight="false" outlineLevel="0" collapsed="false">
      <c r="A93" s="2" t="n">
        <v>92</v>
      </c>
      <c r="B93" s="2" t="s">
        <v>285</v>
      </c>
      <c r="C93" s="2" t="s">
        <v>209</v>
      </c>
      <c r="D93" s="2" t="s">
        <v>286</v>
      </c>
      <c r="E93" s="2" t="s">
        <v>18</v>
      </c>
      <c r="F93" s="2" t="s">
        <v>17</v>
      </c>
      <c r="G93" s="2"/>
      <c r="H93" s="4"/>
    </row>
    <row r="94" customFormat="false" ht="23.85" hidden="false" customHeight="false" outlineLevel="0" collapsed="false">
      <c r="A94" s="2" t="n">
        <v>93</v>
      </c>
      <c r="B94" s="2" t="s">
        <v>287</v>
      </c>
      <c r="C94" s="2" t="s">
        <v>40</v>
      </c>
      <c r="D94" s="2" t="s">
        <v>288</v>
      </c>
      <c r="E94" s="2" t="s">
        <v>16</v>
      </c>
      <c r="F94" s="2" t="s">
        <v>15</v>
      </c>
      <c r="G94" s="2"/>
      <c r="H94" s="4"/>
    </row>
    <row r="95" customFormat="false" ht="23.85" hidden="false" customHeight="false" outlineLevel="0" collapsed="false">
      <c r="A95" s="5" t="n">
        <v>94</v>
      </c>
      <c r="B95" s="5" t="s">
        <v>289</v>
      </c>
      <c r="C95" s="5" t="s">
        <v>290</v>
      </c>
      <c r="D95" s="5" t="s">
        <v>291</v>
      </c>
      <c r="E95" s="5" t="s">
        <v>14</v>
      </c>
      <c r="F95" s="5" t="s">
        <v>13</v>
      </c>
      <c r="G95" s="5"/>
      <c r="H95" s="4"/>
    </row>
    <row r="96" customFormat="false" ht="35.05" hidden="false" customHeight="false" outlineLevel="0" collapsed="false">
      <c r="A96" s="2" t="n">
        <v>95</v>
      </c>
      <c r="B96" s="2" t="s">
        <v>292</v>
      </c>
      <c r="C96" s="2" t="s">
        <v>293</v>
      </c>
      <c r="D96" s="2" t="s">
        <v>294</v>
      </c>
      <c r="E96" s="2" t="s">
        <v>24</v>
      </c>
      <c r="F96" s="2" t="s">
        <v>23</v>
      </c>
      <c r="G96" s="2"/>
      <c r="H96" s="4"/>
    </row>
    <row r="97" customFormat="false" ht="35.05" hidden="false" customHeight="false" outlineLevel="0" collapsed="false">
      <c r="A97" s="5" t="n">
        <v>96</v>
      </c>
      <c r="B97" s="5" t="s">
        <v>295</v>
      </c>
      <c r="C97" s="5" t="s">
        <v>296</v>
      </c>
      <c r="D97" s="5" t="s">
        <v>297</v>
      </c>
      <c r="E97" s="5" t="s">
        <v>14</v>
      </c>
      <c r="F97" s="5" t="s">
        <v>13</v>
      </c>
      <c r="G97" s="5"/>
      <c r="H97" s="4"/>
    </row>
    <row r="98" customFormat="false" ht="23.85" hidden="false" customHeight="false" outlineLevel="0" collapsed="false">
      <c r="A98" s="2" t="n">
        <v>97</v>
      </c>
      <c r="B98" s="2" t="s">
        <v>298</v>
      </c>
      <c r="C98" s="2" t="s">
        <v>179</v>
      </c>
      <c r="D98" s="2" t="s">
        <v>299</v>
      </c>
      <c r="E98" s="2" t="s">
        <v>16</v>
      </c>
      <c r="F98" s="2" t="s">
        <v>15</v>
      </c>
      <c r="G98" s="2"/>
      <c r="H98" s="4"/>
    </row>
    <row r="99" customFormat="false" ht="23.85" hidden="false" customHeight="false" outlineLevel="0" collapsed="false">
      <c r="A99" s="5" t="n">
        <v>98</v>
      </c>
      <c r="B99" s="5" t="s">
        <v>300</v>
      </c>
      <c r="C99" s="5" t="s">
        <v>46</v>
      </c>
      <c r="D99" s="5" t="s">
        <v>301</v>
      </c>
      <c r="E99" s="5" t="s">
        <v>14</v>
      </c>
      <c r="F99" s="5" t="s">
        <v>13</v>
      </c>
      <c r="G99" s="5" t="s">
        <v>302</v>
      </c>
      <c r="H99" s="4"/>
    </row>
    <row r="100" customFormat="false" ht="23.85" hidden="false" customHeight="false" outlineLevel="0" collapsed="false">
      <c r="A100" s="2" t="n">
        <v>99</v>
      </c>
      <c r="B100" s="2" t="s">
        <v>303</v>
      </c>
      <c r="C100" s="2" t="s">
        <v>304</v>
      </c>
      <c r="D100" s="2" t="s">
        <v>305</v>
      </c>
      <c r="E100" s="2" t="s">
        <v>18</v>
      </c>
      <c r="F100" s="2" t="s">
        <v>17</v>
      </c>
      <c r="G100" s="2"/>
      <c r="H100" s="4"/>
    </row>
    <row r="101" customFormat="false" ht="23.85" hidden="false" customHeight="false" outlineLevel="0" collapsed="false">
      <c r="A101" s="2" t="n">
        <v>100</v>
      </c>
      <c r="B101" s="2" t="s">
        <v>306</v>
      </c>
      <c r="C101" s="2" t="s">
        <v>307</v>
      </c>
      <c r="D101" s="2" t="s">
        <v>308</v>
      </c>
      <c r="E101" s="2" t="s">
        <v>16</v>
      </c>
      <c r="F101" s="2" t="s">
        <v>15</v>
      </c>
      <c r="G101" s="2"/>
      <c r="H101" s="4"/>
    </row>
    <row r="102" customFormat="false" ht="35.05" hidden="false" customHeight="false" outlineLevel="0" collapsed="false">
      <c r="A102" s="5" t="n">
        <v>101</v>
      </c>
      <c r="B102" s="5" t="s">
        <v>309</v>
      </c>
      <c r="C102" s="5" t="s">
        <v>310</v>
      </c>
      <c r="D102" s="5" t="s">
        <v>311</v>
      </c>
      <c r="E102" s="5" t="s">
        <v>14</v>
      </c>
      <c r="F102" s="5" t="s">
        <v>13</v>
      </c>
      <c r="G102" s="5"/>
      <c r="H102" s="4"/>
    </row>
    <row r="103" customFormat="false" ht="23.85" hidden="false" customHeight="false" outlineLevel="0" collapsed="false">
      <c r="A103" s="5" t="n">
        <v>102</v>
      </c>
      <c r="B103" s="5" t="s">
        <v>312</v>
      </c>
      <c r="C103" s="5" t="s">
        <v>171</v>
      </c>
      <c r="D103" s="5" t="s">
        <v>313</v>
      </c>
      <c r="E103" s="5" t="s">
        <v>14</v>
      </c>
      <c r="F103" s="5" t="s">
        <v>13</v>
      </c>
      <c r="G103" s="5"/>
      <c r="H103" s="4"/>
    </row>
    <row r="104" customFormat="false" ht="23.85" hidden="false" customHeight="false" outlineLevel="0" collapsed="false">
      <c r="A104" s="2" t="n">
        <v>103</v>
      </c>
      <c r="B104" s="2" t="s">
        <v>314</v>
      </c>
      <c r="C104" s="2" t="s">
        <v>315</v>
      </c>
      <c r="D104" s="2" t="s">
        <v>316</v>
      </c>
      <c r="E104" s="2" t="s">
        <v>22</v>
      </c>
      <c r="F104" s="2" t="s">
        <v>21</v>
      </c>
      <c r="G104" s="2"/>
      <c r="H104" s="4"/>
    </row>
    <row r="105" customFormat="false" ht="23.85" hidden="false" customHeight="false" outlineLevel="0" collapsed="false">
      <c r="A105" s="2" t="n">
        <v>104</v>
      </c>
      <c r="B105" s="2" t="s">
        <v>317</v>
      </c>
      <c r="C105" s="2" t="s">
        <v>318</v>
      </c>
      <c r="D105" s="2" t="s">
        <v>319</v>
      </c>
      <c r="E105" s="2" t="s">
        <v>22</v>
      </c>
      <c r="F105" s="2" t="s">
        <v>21</v>
      </c>
      <c r="G105" s="2"/>
      <c r="H105" s="4"/>
    </row>
    <row r="106" customFormat="false" ht="23.85" hidden="false" customHeight="false" outlineLevel="0" collapsed="false">
      <c r="A106" s="5" t="n">
        <v>105</v>
      </c>
      <c r="B106" s="5" t="s">
        <v>320</v>
      </c>
      <c r="C106" s="5" t="s">
        <v>218</v>
      </c>
      <c r="D106" s="5" t="s">
        <v>321</v>
      </c>
      <c r="E106" s="5" t="s">
        <v>14</v>
      </c>
      <c r="F106" s="5" t="s">
        <v>13</v>
      </c>
      <c r="G106" s="5"/>
      <c r="H106" s="4"/>
    </row>
    <row r="107" customFormat="false" ht="23.85" hidden="false" customHeight="false" outlineLevel="0" collapsed="false">
      <c r="A107" s="2" t="n">
        <v>106</v>
      </c>
      <c r="B107" s="2" t="s">
        <v>322</v>
      </c>
      <c r="C107" s="2" t="s">
        <v>67</v>
      </c>
      <c r="D107" s="2" t="s">
        <v>323</v>
      </c>
      <c r="E107" s="2" t="s">
        <v>18</v>
      </c>
      <c r="F107" s="2" t="s">
        <v>17</v>
      </c>
      <c r="G107" s="2"/>
      <c r="H107" s="4"/>
    </row>
    <row r="108" customFormat="false" ht="23.85" hidden="false" customHeight="false" outlineLevel="0" collapsed="false">
      <c r="A108" s="2" t="n">
        <v>107</v>
      </c>
      <c r="B108" s="2" t="s">
        <v>324</v>
      </c>
      <c r="C108" s="2" t="s">
        <v>325</v>
      </c>
      <c r="D108" s="2" t="s">
        <v>326</v>
      </c>
      <c r="E108" s="2" t="s">
        <v>18</v>
      </c>
      <c r="F108" s="2" t="s">
        <v>17</v>
      </c>
      <c r="G108" s="2"/>
      <c r="H108" s="4"/>
    </row>
    <row r="109" customFormat="false" ht="23.85" hidden="false" customHeight="false" outlineLevel="0" collapsed="false">
      <c r="A109" s="2" t="n">
        <v>108</v>
      </c>
      <c r="B109" s="2" t="s">
        <v>327</v>
      </c>
      <c r="C109" s="2" t="s">
        <v>46</v>
      </c>
      <c r="D109" s="2" t="s">
        <v>328</v>
      </c>
      <c r="E109" s="2" t="s">
        <v>20</v>
      </c>
      <c r="F109" s="2" t="s">
        <v>19</v>
      </c>
      <c r="G109" s="2"/>
      <c r="H109" s="4"/>
    </row>
    <row r="110" customFormat="false" ht="23.85" hidden="false" customHeight="false" outlineLevel="0" collapsed="false">
      <c r="A110" s="2" t="n">
        <v>109</v>
      </c>
      <c r="B110" s="2" t="s">
        <v>329</v>
      </c>
      <c r="C110" s="2" t="s">
        <v>330</v>
      </c>
      <c r="D110" s="2" t="s">
        <v>331</v>
      </c>
      <c r="E110" s="2" t="s">
        <v>20</v>
      </c>
      <c r="F110" s="2" t="s">
        <v>19</v>
      </c>
      <c r="G110" s="2"/>
      <c r="H110" s="4"/>
    </row>
    <row r="111" customFormat="false" ht="23.85" hidden="false" customHeight="false" outlineLevel="0" collapsed="false">
      <c r="A111" s="2" t="n">
        <v>110</v>
      </c>
      <c r="B111" s="2" t="s">
        <v>332</v>
      </c>
      <c r="C111" s="2" t="s">
        <v>40</v>
      </c>
      <c r="D111" s="2" t="s">
        <v>333</v>
      </c>
      <c r="E111" s="2" t="s">
        <v>20</v>
      </c>
      <c r="F111" s="2" t="s">
        <v>19</v>
      </c>
      <c r="G111" s="2"/>
      <c r="H111" s="4"/>
    </row>
    <row r="112" customFormat="false" ht="23.85" hidden="false" customHeight="false" outlineLevel="0" collapsed="false">
      <c r="A112" s="2" t="n">
        <v>111</v>
      </c>
      <c r="B112" s="2" t="s">
        <v>334</v>
      </c>
      <c r="C112" s="2" t="s">
        <v>335</v>
      </c>
      <c r="D112" s="2" t="s">
        <v>336</v>
      </c>
      <c r="E112" s="2" t="s">
        <v>22</v>
      </c>
      <c r="F112" s="2" t="s">
        <v>21</v>
      </c>
      <c r="G112" s="2"/>
      <c r="H112" s="4"/>
    </row>
    <row r="113" customFormat="false" ht="23.85" hidden="false" customHeight="false" outlineLevel="0" collapsed="false">
      <c r="A113" s="5" t="n">
        <v>112</v>
      </c>
      <c r="B113" s="5" t="s">
        <v>337</v>
      </c>
      <c r="C113" s="5" t="s">
        <v>338</v>
      </c>
      <c r="D113" s="5" t="s">
        <v>339</v>
      </c>
      <c r="E113" s="5" t="s">
        <v>14</v>
      </c>
      <c r="F113" s="5" t="s">
        <v>13</v>
      </c>
      <c r="G113" s="5"/>
      <c r="H113" s="4"/>
    </row>
    <row r="114" customFormat="false" ht="23.85" hidden="false" customHeight="false" outlineLevel="0" collapsed="false">
      <c r="A114" s="2" t="n">
        <v>113</v>
      </c>
      <c r="B114" s="2" t="s">
        <v>340</v>
      </c>
      <c r="C114" s="2" t="s">
        <v>341</v>
      </c>
      <c r="D114" s="2" t="s">
        <v>342</v>
      </c>
      <c r="E114" s="2" t="s">
        <v>16</v>
      </c>
      <c r="F114" s="2" t="s">
        <v>15</v>
      </c>
      <c r="G114" s="2"/>
      <c r="H114" s="4"/>
    </row>
    <row r="115" customFormat="false" ht="23.85" hidden="false" customHeight="false" outlineLevel="0" collapsed="false">
      <c r="A115" s="2" t="n">
        <v>114</v>
      </c>
      <c r="B115" s="2" t="s">
        <v>343</v>
      </c>
      <c r="C115" s="2" t="s">
        <v>105</v>
      </c>
      <c r="D115" s="2" t="s">
        <v>344</v>
      </c>
      <c r="E115" s="2" t="s">
        <v>18</v>
      </c>
      <c r="F115" s="2" t="s">
        <v>17</v>
      </c>
      <c r="G115" s="2"/>
      <c r="H115" s="4"/>
    </row>
    <row r="116" customFormat="false" ht="23.85" hidden="false" customHeight="false" outlineLevel="0" collapsed="false">
      <c r="A116" s="2" t="n">
        <v>115</v>
      </c>
      <c r="B116" s="2" t="s">
        <v>345</v>
      </c>
      <c r="C116" s="2" t="s">
        <v>85</v>
      </c>
      <c r="D116" s="2" t="s">
        <v>346</v>
      </c>
      <c r="E116" s="2" t="s">
        <v>20</v>
      </c>
      <c r="F116" s="2" t="s">
        <v>19</v>
      </c>
      <c r="G116" s="2"/>
      <c r="H116" s="4"/>
    </row>
    <row r="117" customFormat="false" ht="23.85" hidden="false" customHeight="false" outlineLevel="0" collapsed="false">
      <c r="A117" s="2" t="n">
        <v>116</v>
      </c>
      <c r="B117" s="2" t="s">
        <v>347</v>
      </c>
      <c r="C117" s="2" t="s">
        <v>348</v>
      </c>
      <c r="D117" s="2" t="s">
        <v>349</v>
      </c>
      <c r="E117" s="2" t="s">
        <v>16</v>
      </c>
      <c r="F117" s="2" t="s">
        <v>15</v>
      </c>
      <c r="G117" s="2"/>
      <c r="H117" s="4"/>
    </row>
    <row r="118" customFormat="false" ht="23.85" hidden="false" customHeight="false" outlineLevel="0" collapsed="false">
      <c r="A118" s="2" t="n">
        <v>117</v>
      </c>
      <c r="B118" s="2" t="s">
        <v>350</v>
      </c>
      <c r="C118" s="2" t="s">
        <v>209</v>
      </c>
      <c r="D118" s="2" t="s">
        <v>351</v>
      </c>
      <c r="E118" s="2" t="s">
        <v>16</v>
      </c>
      <c r="F118" s="2" t="s">
        <v>15</v>
      </c>
      <c r="G118" s="2"/>
      <c r="H118" s="4"/>
    </row>
    <row r="119" customFormat="false" ht="35.05" hidden="false" customHeight="false" outlineLevel="0" collapsed="false">
      <c r="A119" s="5" t="n">
        <v>118</v>
      </c>
      <c r="B119" s="5" t="s">
        <v>352</v>
      </c>
      <c r="C119" s="5" t="s">
        <v>353</v>
      </c>
      <c r="D119" s="5" t="s">
        <v>354</v>
      </c>
      <c r="E119" s="5" t="s">
        <v>14</v>
      </c>
      <c r="F119" s="5" t="s">
        <v>13</v>
      </c>
      <c r="G119" s="5" t="s">
        <v>355</v>
      </c>
      <c r="H119" s="4"/>
    </row>
    <row r="120" customFormat="false" ht="23.85" hidden="false" customHeight="false" outlineLevel="0" collapsed="false">
      <c r="A120" s="2" t="n">
        <v>119</v>
      </c>
      <c r="B120" s="2" t="s">
        <v>356</v>
      </c>
      <c r="C120" s="2" t="s">
        <v>145</v>
      </c>
      <c r="D120" s="2" t="s">
        <v>357</v>
      </c>
      <c r="E120" s="2" t="s">
        <v>18</v>
      </c>
      <c r="F120" s="2" t="s">
        <v>17</v>
      </c>
      <c r="G120" s="2"/>
      <c r="H120" s="4"/>
    </row>
    <row r="121" customFormat="false" ht="23.85" hidden="false" customHeight="false" outlineLevel="0" collapsed="false">
      <c r="A121" s="2" t="n">
        <v>120</v>
      </c>
      <c r="B121" s="2" t="s">
        <v>358</v>
      </c>
      <c r="C121" s="2" t="s">
        <v>359</v>
      </c>
      <c r="D121" s="2" t="s">
        <v>360</v>
      </c>
      <c r="E121" s="2" t="s">
        <v>18</v>
      </c>
      <c r="F121" s="2" t="s">
        <v>17</v>
      </c>
      <c r="G121" s="2"/>
      <c r="H121" s="4"/>
    </row>
    <row r="122" customFormat="false" ht="46.25" hidden="false" customHeight="false" outlineLevel="0" collapsed="false">
      <c r="A122" s="5" t="n">
        <v>121</v>
      </c>
      <c r="B122" s="5" t="s">
        <v>361</v>
      </c>
      <c r="C122" s="5" t="s">
        <v>296</v>
      </c>
      <c r="D122" s="5" t="s">
        <v>362</v>
      </c>
      <c r="E122" s="5" t="s">
        <v>14</v>
      </c>
      <c r="F122" s="5" t="s">
        <v>13</v>
      </c>
      <c r="G122" s="5" t="s">
        <v>363</v>
      </c>
      <c r="H122" s="4"/>
    </row>
    <row r="123" customFormat="false" ht="23.85" hidden="false" customHeight="false" outlineLevel="0" collapsed="false">
      <c r="A123" s="2" t="n">
        <v>122</v>
      </c>
      <c r="B123" s="2" t="s">
        <v>364</v>
      </c>
      <c r="C123" s="2" t="s">
        <v>365</v>
      </c>
      <c r="D123" s="2" t="s">
        <v>366</v>
      </c>
      <c r="E123" s="2" t="s">
        <v>20</v>
      </c>
      <c r="F123" s="2" t="s">
        <v>19</v>
      </c>
      <c r="G123" s="2"/>
      <c r="H123" s="4"/>
    </row>
    <row r="124" customFormat="false" ht="35.05" hidden="false" customHeight="false" outlineLevel="0" collapsed="false">
      <c r="A124" s="2" t="n">
        <v>123</v>
      </c>
      <c r="B124" s="2" t="s">
        <v>367</v>
      </c>
      <c r="C124" s="2" t="s">
        <v>74</v>
      </c>
      <c r="D124" s="2" t="s">
        <v>368</v>
      </c>
      <c r="E124" s="2" t="s">
        <v>18</v>
      </c>
      <c r="F124" s="2" t="s">
        <v>17</v>
      </c>
      <c r="G124" s="2"/>
      <c r="H124" s="4"/>
    </row>
    <row r="125" customFormat="false" ht="35.05" hidden="false" customHeight="false" outlineLevel="0" collapsed="false">
      <c r="A125" s="2" t="n">
        <v>124</v>
      </c>
      <c r="B125" s="2" t="s">
        <v>369</v>
      </c>
      <c r="C125" s="2" t="s">
        <v>273</v>
      </c>
      <c r="D125" s="2" t="s">
        <v>370</v>
      </c>
      <c r="E125" s="2" t="s">
        <v>20</v>
      </c>
      <c r="F125" s="2" t="s">
        <v>19</v>
      </c>
      <c r="G125" s="2"/>
      <c r="H125" s="4"/>
    </row>
    <row r="126" customFormat="false" ht="23.85" hidden="false" customHeight="false" outlineLevel="0" collapsed="false">
      <c r="A126" s="2" t="n">
        <v>125</v>
      </c>
      <c r="B126" s="2" t="s">
        <v>371</v>
      </c>
      <c r="C126" s="2" t="s">
        <v>372</v>
      </c>
      <c r="D126" s="2" t="s">
        <v>373</v>
      </c>
      <c r="E126" s="2" t="s">
        <v>18</v>
      </c>
      <c r="F126" s="2" t="s">
        <v>17</v>
      </c>
      <c r="G126" s="2"/>
      <c r="H126" s="4"/>
    </row>
    <row r="127" customFormat="false" ht="23.85" hidden="false" customHeight="false" outlineLevel="0" collapsed="false">
      <c r="A127" s="2" t="n">
        <v>126</v>
      </c>
      <c r="B127" s="2" t="s">
        <v>374</v>
      </c>
      <c r="C127" s="2" t="s">
        <v>375</v>
      </c>
      <c r="D127" s="2" t="s">
        <v>376</v>
      </c>
      <c r="E127" s="2" t="s">
        <v>16</v>
      </c>
      <c r="F127" s="2" t="s">
        <v>15</v>
      </c>
      <c r="G127" s="2"/>
      <c r="H127" s="4"/>
    </row>
    <row r="128" customFormat="false" ht="23.85" hidden="false" customHeight="false" outlineLevel="0" collapsed="false">
      <c r="A128" s="2" t="n">
        <v>127</v>
      </c>
      <c r="B128" s="2" t="s">
        <v>377</v>
      </c>
      <c r="C128" s="2" t="s">
        <v>128</v>
      </c>
      <c r="D128" s="2" t="s">
        <v>378</v>
      </c>
      <c r="E128" s="2" t="s">
        <v>20</v>
      </c>
      <c r="F128" s="2" t="s">
        <v>19</v>
      </c>
      <c r="G128" s="2"/>
      <c r="H128" s="4"/>
    </row>
    <row r="129" customFormat="false" ht="23.85" hidden="false" customHeight="false" outlineLevel="0" collapsed="false">
      <c r="A129" s="2" t="n">
        <v>128</v>
      </c>
      <c r="B129" s="2" t="s">
        <v>379</v>
      </c>
      <c r="C129" s="2" t="s">
        <v>380</v>
      </c>
      <c r="D129" s="2" t="s">
        <v>381</v>
      </c>
      <c r="E129" s="2" t="s">
        <v>16</v>
      </c>
      <c r="F129" s="2" t="s">
        <v>15</v>
      </c>
      <c r="G129" s="2"/>
      <c r="H129" s="4"/>
    </row>
    <row r="130" customFormat="false" ht="35.05" hidden="false" customHeight="false" outlineLevel="0" collapsed="false">
      <c r="A130" s="2" t="n">
        <v>129</v>
      </c>
      <c r="B130" s="2" t="s">
        <v>382</v>
      </c>
      <c r="C130" s="2" t="s">
        <v>243</v>
      </c>
      <c r="D130" s="2" t="s">
        <v>383</v>
      </c>
      <c r="E130" s="2" t="s">
        <v>20</v>
      </c>
      <c r="F130" s="2" t="s">
        <v>19</v>
      </c>
      <c r="G130" s="2"/>
      <c r="H130" s="4"/>
    </row>
    <row r="131" customFormat="false" ht="35.05" hidden="false" customHeight="false" outlineLevel="0" collapsed="false">
      <c r="A131" s="2" t="n">
        <v>130</v>
      </c>
      <c r="B131" s="2" t="s">
        <v>384</v>
      </c>
      <c r="C131" s="2" t="s">
        <v>259</v>
      </c>
      <c r="D131" s="2" t="s">
        <v>385</v>
      </c>
      <c r="E131" s="2" t="s">
        <v>20</v>
      </c>
      <c r="F131" s="2" t="s">
        <v>19</v>
      </c>
      <c r="G131" s="2"/>
      <c r="H131" s="4"/>
    </row>
    <row r="132" customFormat="false" ht="23.85" hidden="false" customHeight="false" outlineLevel="0" collapsed="false">
      <c r="A132" s="2" t="n">
        <v>131</v>
      </c>
      <c r="B132" s="2" t="s">
        <v>386</v>
      </c>
      <c r="C132" s="2" t="s">
        <v>387</v>
      </c>
      <c r="D132" s="2" t="s">
        <v>388</v>
      </c>
      <c r="E132" s="2" t="s">
        <v>20</v>
      </c>
      <c r="F132" s="2" t="s">
        <v>19</v>
      </c>
      <c r="G132" s="2"/>
      <c r="H132" s="4"/>
    </row>
    <row r="133" customFormat="false" ht="35.05" hidden="false" customHeight="false" outlineLevel="0" collapsed="false">
      <c r="A133" s="2" t="n">
        <v>132</v>
      </c>
      <c r="B133" s="2" t="s">
        <v>389</v>
      </c>
      <c r="C133" s="2" t="s">
        <v>259</v>
      </c>
      <c r="D133" s="2" t="s">
        <v>390</v>
      </c>
      <c r="E133" s="2" t="s">
        <v>20</v>
      </c>
      <c r="F133" s="2" t="s">
        <v>19</v>
      </c>
      <c r="G133" s="2"/>
      <c r="H133" s="4"/>
    </row>
    <row r="134" customFormat="false" ht="35.05" hidden="false" customHeight="false" outlineLevel="0" collapsed="false">
      <c r="A134" s="2" t="n">
        <v>133</v>
      </c>
      <c r="B134" s="2" t="s">
        <v>391</v>
      </c>
      <c r="C134" s="2" t="s">
        <v>139</v>
      </c>
      <c r="D134" s="2" t="s">
        <v>392</v>
      </c>
      <c r="E134" s="2" t="s">
        <v>18</v>
      </c>
      <c r="F134" s="2" t="s">
        <v>17</v>
      </c>
      <c r="G134" s="2"/>
      <c r="H134" s="4"/>
    </row>
    <row r="135" customFormat="false" ht="35.05" hidden="false" customHeight="false" outlineLevel="0" collapsed="false">
      <c r="A135" s="2" t="n">
        <v>134</v>
      </c>
      <c r="B135" s="2" t="s">
        <v>393</v>
      </c>
      <c r="C135" s="2" t="s">
        <v>394</v>
      </c>
      <c r="D135" s="2" t="s">
        <v>395</v>
      </c>
      <c r="E135" s="2" t="s">
        <v>18</v>
      </c>
      <c r="F135" s="2" t="s">
        <v>17</v>
      </c>
      <c r="G135" s="2"/>
      <c r="H135" s="4"/>
    </row>
    <row r="136" customFormat="false" ht="46.25" hidden="false" customHeight="false" outlineLevel="0" collapsed="false">
      <c r="A136" s="2" t="n">
        <v>135</v>
      </c>
      <c r="B136" s="2" t="s">
        <v>396</v>
      </c>
      <c r="C136" s="2" t="s">
        <v>74</v>
      </c>
      <c r="D136" s="2" t="s">
        <v>397</v>
      </c>
      <c r="E136" s="2" t="s">
        <v>20</v>
      </c>
      <c r="F136" s="2" t="s">
        <v>19</v>
      </c>
      <c r="G136" s="2"/>
      <c r="H136" s="4"/>
    </row>
    <row r="137" customFormat="false" ht="23.85" hidden="false" customHeight="false" outlineLevel="0" collapsed="false">
      <c r="A137" s="2" t="n">
        <v>136</v>
      </c>
      <c r="B137" s="2" t="s">
        <v>398</v>
      </c>
      <c r="C137" s="2" t="s">
        <v>399</v>
      </c>
      <c r="D137" s="2" t="s">
        <v>400</v>
      </c>
      <c r="E137" s="2" t="s">
        <v>20</v>
      </c>
      <c r="F137" s="2" t="s">
        <v>19</v>
      </c>
      <c r="G137" s="2"/>
      <c r="H137" s="4"/>
    </row>
    <row r="138" customFormat="false" ht="23.85" hidden="false" customHeight="false" outlineLevel="0" collapsed="false">
      <c r="A138" s="2" t="n">
        <v>137</v>
      </c>
      <c r="B138" s="2" t="s">
        <v>401</v>
      </c>
      <c r="C138" s="2" t="s">
        <v>402</v>
      </c>
      <c r="D138" s="2" t="s">
        <v>403</v>
      </c>
      <c r="E138" s="2" t="s">
        <v>24</v>
      </c>
      <c r="F138" s="2" t="s">
        <v>23</v>
      </c>
      <c r="G138" s="2"/>
      <c r="H138" s="4"/>
    </row>
    <row r="139" customFormat="false" ht="23.85" hidden="false" customHeight="false" outlineLevel="0" collapsed="false">
      <c r="A139" s="2" t="n">
        <v>138</v>
      </c>
      <c r="B139" s="2" t="s">
        <v>404</v>
      </c>
      <c r="C139" s="2" t="s">
        <v>405</v>
      </c>
      <c r="D139" s="2" t="s">
        <v>406</v>
      </c>
      <c r="E139" s="2" t="s">
        <v>18</v>
      </c>
      <c r="F139" s="2" t="s">
        <v>17</v>
      </c>
      <c r="G139" s="2"/>
      <c r="H139" s="4"/>
    </row>
    <row r="140" customFormat="false" ht="35.05" hidden="false" customHeight="false" outlineLevel="0" collapsed="false">
      <c r="A140" s="2" t="n">
        <v>139</v>
      </c>
      <c r="B140" s="2" t="s">
        <v>407</v>
      </c>
      <c r="C140" s="2" t="s">
        <v>408</v>
      </c>
      <c r="D140" s="2" t="s">
        <v>409</v>
      </c>
      <c r="E140" s="2" t="s">
        <v>16</v>
      </c>
      <c r="F140" s="2" t="s">
        <v>15</v>
      </c>
      <c r="G140" s="2"/>
      <c r="H140" s="4"/>
    </row>
    <row r="141" customFormat="false" ht="46.25" hidden="false" customHeight="false" outlineLevel="0" collapsed="false">
      <c r="A141" s="2" t="n">
        <v>140</v>
      </c>
      <c r="B141" s="2" t="s">
        <v>410</v>
      </c>
      <c r="C141" s="2" t="s">
        <v>46</v>
      </c>
      <c r="D141" s="2" t="s">
        <v>411</v>
      </c>
      <c r="E141" s="2" t="s">
        <v>20</v>
      </c>
      <c r="F141" s="2" t="s">
        <v>19</v>
      </c>
      <c r="G141" s="2"/>
      <c r="H141" s="4"/>
    </row>
    <row r="142" customFormat="false" ht="23.85" hidden="false" customHeight="false" outlineLevel="0" collapsed="false">
      <c r="A142" s="2" t="n">
        <v>141</v>
      </c>
      <c r="B142" s="2" t="s">
        <v>412</v>
      </c>
      <c r="C142" s="2" t="s">
        <v>243</v>
      </c>
      <c r="D142" s="2" t="s">
        <v>413</v>
      </c>
      <c r="E142" s="2" t="s">
        <v>16</v>
      </c>
      <c r="F142" s="2" t="s">
        <v>15</v>
      </c>
      <c r="G142" s="2"/>
      <c r="H142" s="4"/>
    </row>
    <row r="143" customFormat="false" ht="23.85" hidden="false" customHeight="false" outlineLevel="0" collapsed="false">
      <c r="A143" s="2" t="n">
        <v>142</v>
      </c>
      <c r="B143" s="2" t="s">
        <v>414</v>
      </c>
      <c r="C143" s="2" t="s">
        <v>193</v>
      </c>
      <c r="D143" s="2" t="s">
        <v>415</v>
      </c>
      <c r="E143" s="2" t="s">
        <v>20</v>
      </c>
      <c r="F143" s="2" t="s">
        <v>19</v>
      </c>
      <c r="G143" s="2"/>
      <c r="H143" s="4"/>
    </row>
    <row r="144" customFormat="false" ht="23.85" hidden="false" customHeight="false" outlineLevel="0" collapsed="false">
      <c r="A144" s="2" t="n">
        <v>143</v>
      </c>
      <c r="B144" s="2" t="s">
        <v>416</v>
      </c>
      <c r="C144" s="2" t="s">
        <v>417</v>
      </c>
      <c r="D144" s="2" t="s">
        <v>418</v>
      </c>
      <c r="E144" s="2" t="s">
        <v>22</v>
      </c>
      <c r="F144" s="2" t="s">
        <v>21</v>
      </c>
      <c r="G144" s="2"/>
      <c r="H144" s="4"/>
    </row>
    <row r="145" customFormat="false" ht="23.85" hidden="false" customHeight="false" outlineLevel="0" collapsed="false">
      <c r="A145" s="2" t="n">
        <v>144</v>
      </c>
      <c r="B145" s="2" t="s">
        <v>419</v>
      </c>
      <c r="C145" s="2" t="s">
        <v>420</v>
      </c>
      <c r="D145" s="2" t="s">
        <v>421</v>
      </c>
      <c r="E145" s="2" t="s">
        <v>16</v>
      </c>
      <c r="F145" s="2" t="s">
        <v>15</v>
      </c>
      <c r="G145" s="2"/>
      <c r="H145" s="4"/>
    </row>
    <row r="146" customFormat="false" ht="23.85" hidden="false" customHeight="false" outlineLevel="0" collapsed="false">
      <c r="A146" s="2" t="n">
        <v>145</v>
      </c>
      <c r="B146" s="2" t="s">
        <v>422</v>
      </c>
      <c r="C146" s="2" t="s">
        <v>423</v>
      </c>
      <c r="D146" s="2" t="s">
        <v>424</v>
      </c>
      <c r="E146" s="2" t="s">
        <v>20</v>
      </c>
      <c r="F146" s="2" t="s">
        <v>19</v>
      </c>
      <c r="G146" s="2"/>
      <c r="H146" s="4"/>
    </row>
    <row r="147" customFormat="false" ht="23.85" hidden="false" customHeight="false" outlineLevel="0" collapsed="false">
      <c r="A147" s="2" t="n">
        <v>146</v>
      </c>
      <c r="B147" s="2" t="s">
        <v>425</v>
      </c>
      <c r="C147" s="2" t="s">
        <v>426</v>
      </c>
      <c r="D147" s="2" t="s">
        <v>427</v>
      </c>
      <c r="E147" s="2" t="s">
        <v>20</v>
      </c>
      <c r="F147" s="2" t="s">
        <v>19</v>
      </c>
      <c r="G147" s="2"/>
      <c r="H147" s="4"/>
    </row>
    <row r="148" customFormat="false" ht="35.05" hidden="false" customHeight="false" outlineLevel="0" collapsed="false">
      <c r="A148" s="5" t="n">
        <v>147</v>
      </c>
      <c r="B148" s="5" t="s">
        <v>428</v>
      </c>
      <c r="C148" s="5" t="s">
        <v>429</v>
      </c>
      <c r="D148" s="5" t="s">
        <v>430</v>
      </c>
      <c r="E148" s="5" t="s">
        <v>14</v>
      </c>
      <c r="F148" s="5" t="s">
        <v>13</v>
      </c>
      <c r="G148" s="5" t="s">
        <v>431</v>
      </c>
      <c r="H148" s="4"/>
    </row>
    <row r="149" customFormat="false" ht="23.85" hidden="false" customHeight="false" outlineLevel="0" collapsed="false">
      <c r="A149" s="5" t="n">
        <v>148</v>
      </c>
      <c r="B149" s="5" t="s">
        <v>432</v>
      </c>
      <c r="C149" s="5" t="s">
        <v>433</v>
      </c>
      <c r="D149" s="5" t="s">
        <v>434</v>
      </c>
      <c r="E149" s="5" t="s">
        <v>14</v>
      </c>
      <c r="F149" s="5" t="s">
        <v>13</v>
      </c>
      <c r="G149" s="5"/>
      <c r="H149" s="4"/>
    </row>
    <row r="150" customFormat="false" ht="23.85" hidden="false" customHeight="false" outlineLevel="0" collapsed="false">
      <c r="A150" s="2" t="n">
        <v>149</v>
      </c>
      <c r="B150" s="2" t="s">
        <v>435</v>
      </c>
      <c r="C150" s="2" t="s">
        <v>436</v>
      </c>
      <c r="D150" s="2" t="s">
        <v>437</v>
      </c>
      <c r="E150" s="2" t="s">
        <v>18</v>
      </c>
      <c r="F150" s="2" t="s">
        <v>17</v>
      </c>
      <c r="G150" s="2"/>
      <c r="H150" s="4"/>
    </row>
    <row r="151" customFormat="false" ht="23.85" hidden="false" customHeight="false" outlineLevel="0" collapsed="false">
      <c r="A151" s="2" t="n">
        <v>150</v>
      </c>
      <c r="B151" s="2" t="s">
        <v>438</v>
      </c>
      <c r="C151" s="2" t="s">
        <v>439</v>
      </c>
      <c r="D151" s="2" t="s">
        <v>440</v>
      </c>
      <c r="E151" s="2" t="s">
        <v>16</v>
      </c>
      <c r="F151" s="2" t="s">
        <v>15</v>
      </c>
      <c r="G151" s="2"/>
      <c r="H151" s="4"/>
    </row>
    <row r="152" customFormat="false" ht="23.85" hidden="false" customHeight="false" outlineLevel="0" collapsed="false">
      <c r="A152" s="2" t="n">
        <v>151</v>
      </c>
      <c r="B152" s="2" t="s">
        <v>441</v>
      </c>
      <c r="C152" s="2" t="s">
        <v>442</v>
      </c>
      <c r="D152" s="2" t="s">
        <v>443</v>
      </c>
      <c r="E152" s="2" t="s">
        <v>20</v>
      </c>
      <c r="F152" s="2" t="s">
        <v>19</v>
      </c>
      <c r="G152" s="2"/>
      <c r="H152" s="4"/>
    </row>
    <row r="153" customFormat="false" ht="35.05" hidden="false" customHeight="false" outlineLevel="0" collapsed="false">
      <c r="A153" s="2" t="n">
        <v>152</v>
      </c>
      <c r="B153" s="2" t="s">
        <v>444</v>
      </c>
      <c r="C153" s="2" t="s">
        <v>445</v>
      </c>
      <c r="D153" s="2" t="s">
        <v>446</v>
      </c>
      <c r="E153" s="2" t="s">
        <v>16</v>
      </c>
      <c r="F153" s="2" t="s">
        <v>15</v>
      </c>
      <c r="G153" s="2"/>
      <c r="H153" s="4"/>
    </row>
    <row r="154" customFormat="false" ht="35.05" hidden="false" customHeight="false" outlineLevel="0" collapsed="false">
      <c r="A154" s="5" t="n">
        <v>153</v>
      </c>
      <c r="B154" s="5" t="s">
        <v>447</v>
      </c>
      <c r="C154" s="5" t="s">
        <v>125</v>
      </c>
      <c r="D154" s="5" t="s">
        <v>448</v>
      </c>
      <c r="E154" s="5" t="s">
        <v>14</v>
      </c>
      <c r="F154" s="5" t="s">
        <v>13</v>
      </c>
      <c r="G154" s="5"/>
      <c r="H154" s="4"/>
    </row>
    <row r="155" customFormat="false" ht="46.25" hidden="false" customHeight="false" outlineLevel="0" collapsed="false">
      <c r="A155" s="2" t="n">
        <v>154</v>
      </c>
      <c r="B155" s="2" t="s">
        <v>449</v>
      </c>
      <c r="C155" s="2" t="s">
        <v>450</v>
      </c>
      <c r="D155" s="2" t="s">
        <v>451</v>
      </c>
      <c r="E155" s="2" t="s">
        <v>20</v>
      </c>
      <c r="F155" s="2" t="s">
        <v>19</v>
      </c>
      <c r="G155" s="2"/>
      <c r="H155" s="4"/>
    </row>
    <row r="156" customFormat="false" ht="35.05" hidden="false" customHeight="false" outlineLevel="0" collapsed="false">
      <c r="A156" s="2" t="n">
        <v>155</v>
      </c>
      <c r="B156" s="2" t="s">
        <v>452</v>
      </c>
      <c r="C156" s="2" t="s">
        <v>259</v>
      </c>
      <c r="D156" s="2" t="s">
        <v>453</v>
      </c>
      <c r="E156" s="2" t="s">
        <v>20</v>
      </c>
      <c r="F156" s="2" t="s">
        <v>19</v>
      </c>
      <c r="G156" s="2"/>
      <c r="H156" s="4"/>
    </row>
    <row r="157" customFormat="false" ht="23.85" hidden="false" customHeight="false" outlineLevel="0" collapsed="false">
      <c r="A157" s="2" t="n">
        <v>156</v>
      </c>
      <c r="B157" s="2" t="s">
        <v>454</v>
      </c>
      <c r="C157" s="2" t="s">
        <v>455</v>
      </c>
      <c r="D157" s="2" t="s">
        <v>456</v>
      </c>
      <c r="E157" s="2" t="s">
        <v>24</v>
      </c>
      <c r="F157" s="2" t="s">
        <v>23</v>
      </c>
      <c r="G157" s="2"/>
      <c r="H157" s="4"/>
    </row>
    <row r="158" customFormat="false" ht="23.85" hidden="false" customHeight="false" outlineLevel="0" collapsed="false">
      <c r="A158" s="2" t="n">
        <v>157</v>
      </c>
      <c r="B158" s="2" t="s">
        <v>457</v>
      </c>
      <c r="C158" s="2" t="s">
        <v>433</v>
      </c>
      <c r="D158" s="2" t="s">
        <v>458</v>
      </c>
      <c r="E158" s="2" t="s">
        <v>20</v>
      </c>
      <c r="F158" s="2" t="s">
        <v>19</v>
      </c>
      <c r="G158" s="2"/>
      <c r="H158" s="4"/>
    </row>
    <row r="159" customFormat="false" ht="23.85" hidden="false" customHeight="false" outlineLevel="0" collapsed="false">
      <c r="A159" s="2" t="n">
        <v>158</v>
      </c>
      <c r="B159" s="2" t="s">
        <v>459</v>
      </c>
      <c r="C159" s="2" t="s">
        <v>460</v>
      </c>
      <c r="D159" s="2" t="s">
        <v>461</v>
      </c>
      <c r="E159" s="2" t="s">
        <v>18</v>
      </c>
      <c r="F159" s="2" t="s">
        <v>17</v>
      </c>
      <c r="G159" s="2"/>
      <c r="H159" s="4"/>
    </row>
    <row r="160" customFormat="false" ht="46.25" hidden="false" customHeight="false" outlineLevel="0" collapsed="false">
      <c r="A160" s="2" t="n">
        <v>159</v>
      </c>
      <c r="B160" s="2" t="s">
        <v>462</v>
      </c>
      <c r="C160" s="2" t="s">
        <v>125</v>
      </c>
      <c r="D160" s="2" t="s">
        <v>463</v>
      </c>
      <c r="E160" s="2" t="s">
        <v>20</v>
      </c>
      <c r="F160" s="2" t="s">
        <v>19</v>
      </c>
      <c r="G160" s="2"/>
      <c r="H160" s="4"/>
    </row>
    <row r="161" customFormat="false" ht="23.85" hidden="false" customHeight="false" outlineLevel="0" collapsed="false">
      <c r="A161" s="2" t="n">
        <v>160</v>
      </c>
      <c r="B161" s="2" t="s">
        <v>464</v>
      </c>
      <c r="C161" s="2" t="s">
        <v>399</v>
      </c>
      <c r="D161" s="2" t="s">
        <v>465</v>
      </c>
      <c r="E161" s="2" t="s">
        <v>20</v>
      </c>
      <c r="F161" s="2" t="s">
        <v>19</v>
      </c>
      <c r="G161" s="2"/>
      <c r="H161" s="4"/>
    </row>
    <row r="162" customFormat="false" ht="23.85" hidden="false" customHeight="false" outlineLevel="0" collapsed="false">
      <c r="A162" s="2" t="n">
        <v>161</v>
      </c>
      <c r="B162" s="2" t="s">
        <v>466</v>
      </c>
      <c r="C162" s="2" t="s">
        <v>330</v>
      </c>
      <c r="D162" s="2" t="s">
        <v>467</v>
      </c>
      <c r="E162" s="2" t="s">
        <v>24</v>
      </c>
      <c r="F162" s="2" t="s">
        <v>23</v>
      </c>
      <c r="G162" s="2"/>
      <c r="H162" s="4"/>
    </row>
    <row r="163" customFormat="false" ht="23.85" hidden="false" customHeight="false" outlineLevel="0" collapsed="false">
      <c r="A163" s="2" t="n">
        <v>162</v>
      </c>
      <c r="B163" s="2" t="s">
        <v>468</v>
      </c>
      <c r="C163" s="2" t="s">
        <v>469</v>
      </c>
      <c r="D163" s="2" t="s">
        <v>470</v>
      </c>
      <c r="E163" s="2" t="s">
        <v>18</v>
      </c>
      <c r="F163" s="2" t="s">
        <v>17</v>
      </c>
      <c r="G163" s="2"/>
      <c r="H163" s="4"/>
    </row>
    <row r="164" customFormat="false" ht="23.85" hidden="false" customHeight="false" outlineLevel="0" collapsed="false">
      <c r="A164" s="2" t="n">
        <v>163</v>
      </c>
      <c r="B164" s="2" t="s">
        <v>471</v>
      </c>
      <c r="C164" s="2" t="s">
        <v>128</v>
      </c>
      <c r="D164" s="2" t="s">
        <v>472</v>
      </c>
      <c r="E164" s="2" t="s">
        <v>20</v>
      </c>
      <c r="F164" s="2" t="s">
        <v>19</v>
      </c>
      <c r="G164" s="2"/>
      <c r="H164" s="4"/>
    </row>
    <row r="165" customFormat="false" ht="35.05" hidden="false" customHeight="false" outlineLevel="0" collapsed="false">
      <c r="A165" s="5" t="n">
        <v>164</v>
      </c>
      <c r="B165" s="5" t="s">
        <v>473</v>
      </c>
      <c r="C165" s="5" t="s">
        <v>119</v>
      </c>
      <c r="D165" s="5" t="s">
        <v>474</v>
      </c>
      <c r="E165" s="5" t="s">
        <v>14</v>
      </c>
      <c r="F165" s="5" t="s">
        <v>13</v>
      </c>
      <c r="G165" s="5"/>
      <c r="H165" s="4"/>
    </row>
    <row r="166" customFormat="false" ht="35.05" hidden="false" customHeight="false" outlineLevel="0" collapsed="false">
      <c r="A166" s="2" t="n">
        <v>165</v>
      </c>
      <c r="B166" s="2" t="s">
        <v>475</v>
      </c>
      <c r="C166" s="2" t="s">
        <v>139</v>
      </c>
      <c r="D166" s="2" t="s">
        <v>476</v>
      </c>
      <c r="E166" s="2" t="s">
        <v>20</v>
      </c>
      <c r="F166" s="2" t="s">
        <v>19</v>
      </c>
      <c r="G166" s="2"/>
      <c r="H166" s="4"/>
    </row>
    <row r="167" customFormat="false" ht="23.85" hidden="false" customHeight="false" outlineLevel="0" collapsed="false">
      <c r="A167" s="2" t="n">
        <v>166</v>
      </c>
      <c r="B167" s="2" t="s">
        <v>477</v>
      </c>
      <c r="C167" s="2" t="s">
        <v>478</v>
      </c>
      <c r="D167" s="2" t="s">
        <v>479</v>
      </c>
      <c r="E167" s="2" t="s">
        <v>22</v>
      </c>
      <c r="F167" s="2" t="s">
        <v>21</v>
      </c>
      <c r="G167" s="2"/>
      <c r="H167" s="4"/>
    </row>
    <row r="168" customFormat="false" ht="35.05" hidden="false" customHeight="false" outlineLevel="0" collapsed="false">
      <c r="A168" s="5" t="n">
        <v>167</v>
      </c>
      <c r="B168" s="5" t="s">
        <v>480</v>
      </c>
      <c r="C168" s="5" t="s">
        <v>408</v>
      </c>
      <c r="D168" s="5" t="s">
        <v>481</v>
      </c>
      <c r="E168" s="5" t="s">
        <v>14</v>
      </c>
      <c r="F168" s="5" t="s">
        <v>13</v>
      </c>
      <c r="G168" s="5"/>
      <c r="H168" s="4"/>
    </row>
    <row r="169" customFormat="false" ht="23.85" hidden="false" customHeight="false" outlineLevel="0" collapsed="false">
      <c r="A169" s="2" t="n">
        <v>168</v>
      </c>
      <c r="B169" s="2" t="s">
        <v>482</v>
      </c>
      <c r="C169" s="2" t="s">
        <v>483</v>
      </c>
      <c r="D169" s="2" t="s">
        <v>484</v>
      </c>
      <c r="E169" s="2" t="s">
        <v>16</v>
      </c>
      <c r="F169" s="2" t="s">
        <v>15</v>
      </c>
      <c r="G169" s="2"/>
      <c r="H169" s="4"/>
    </row>
    <row r="170" customFormat="false" ht="23.85" hidden="false" customHeight="false" outlineLevel="0" collapsed="false">
      <c r="A170" s="2" t="n">
        <v>169</v>
      </c>
      <c r="B170" s="2" t="s">
        <v>485</v>
      </c>
      <c r="C170" s="2" t="s">
        <v>486</v>
      </c>
      <c r="D170" s="2" t="s">
        <v>487</v>
      </c>
      <c r="E170" s="2" t="s">
        <v>16</v>
      </c>
      <c r="F170" s="2" t="s">
        <v>15</v>
      </c>
      <c r="G170" s="2"/>
      <c r="H170" s="4"/>
    </row>
    <row r="171" customFormat="false" ht="23.85" hidden="false" customHeight="false" outlineLevel="0" collapsed="false">
      <c r="A171" s="2" t="n">
        <v>170</v>
      </c>
      <c r="B171" s="2" t="s">
        <v>488</v>
      </c>
      <c r="C171" s="2" t="s">
        <v>193</v>
      </c>
      <c r="D171" s="2" t="s">
        <v>489</v>
      </c>
      <c r="E171" s="2" t="s">
        <v>16</v>
      </c>
      <c r="F171" s="2" t="s">
        <v>15</v>
      </c>
      <c r="G171" s="2"/>
      <c r="H171" s="4"/>
    </row>
    <row r="172" customFormat="false" ht="23.85" hidden="false" customHeight="false" outlineLevel="0" collapsed="false">
      <c r="A172" s="5" t="n">
        <v>171</v>
      </c>
      <c r="B172" s="5" t="s">
        <v>490</v>
      </c>
      <c r="C172" s="5" t="s">
        <v>491</v>
      </c>
      <c r="D172" s="5" t="s">
        <v>492</v>
      </c>
      <c r="E172" s="5" t="s">
        <v>14</v>
      </c>
      <c r="F172" s="5" t="s">
        <v>13</v>
      </c>
      <c r="G172" s="5"/>
      <c r="H172" s="4"/>
    </row>
    <row r="173" customFormat="false" ht="23.85" hidden="false" customHeight="false" outlineLevel="0" collapsed="false">
      <c r="A173" s="2" t="n">
        <v>172</v>
      </c>
      <c r="B173" s="2" t="s">
        <v>493</v>
      </c>
      <c r="C173" s="2" t="s">
        <v>330</v>
      </c>
      <c r="D173" s="2" t="s">
        <v>494</v>
      </c>
      <c r="E173" s="2" t="s">
        <v>24</v>
      </c>
      <c r="F173" s="2" t="s">
        <v>23</v>
      </c>
      <c r="G173" s="2"/>
      <c r="H173" s="4"/>
    </row>
    <row r="174" customFormat="false" ht="23.85" hidden="false" customHeight="false" outlineLevel="0" collapsed="false">
      <c r="A174" s="2" t="n">
        <v>173</v>
      </c>
      <c r="B174" s="2" t="s">
        <v>495</v>
      </c>
      <c r="C174" s="2" t="s">
        <v>105</v>
      </c>
      <c r="D174" s="2" t="s">
        <v>496</v>
      </c>
      <c r="E174" s="2" t="s">
        <v>20</v>
      </c>
      <c r="F174" s="2" t="s">
        <v>19</v>
      </c>
      <c r="G174" s="2"/>
      <c r="H174" s="4"/>
    </row>
    <row r="175" customFormat="false" ht="23.85" hidden="false" customHeight="false" outlineLevel="0" collapsed="false">
      <c r="A175" s="2" t="n">
        <v>174</v>
      </c>
      <c r="B175" s="2" t="s">
        <v>497</v>
      </c>
      <c r="C175" s="2" t="s">
        <v>199</v>
      </c>
      <c r="D175" s="2" t="s">
        <v>498</v>
      </c>
      <c r="E175" s="2" t="s">
        <v>20</v>
      </c>
      <c r="F175" s="2" t="s">
        <v>19</v>
      </c>
      <c r="G175" s="2"/>
      <c r="H175" s="4"/>
    </row>
    <row r="176" customFormat="false" ht="23.85" hidden="false" customHeight="false" outlineLevel="0" collapsed="false">
      <c r="A176" s="2" t="n">
        <v>175</v>
      </c>
      <c r="B176" s="2" t="s">
        <v>499</v>
      </c>
      <c r="C176" s="2" t="s">
        <v>500</v>
      </c>
      <c r="D176" s="2" t="s">
        <v>501</v>
      </c>
      <c r="E176" s="2" t="s">
        <v>22</v>
      </c>
      <c r="F176" s="2" t="s">
        <v>21</v>
      </c>
      <c r="G176" s="2"/>
      <c r="H176" s="4"/>
    </row>
    <row r="177" customFormat="false" ht="23.85" hidden="false" customHeight="false" outlineLevel="0" collapsed="false">
      <c r="A177" s="5" t="n">
        <v>176</v>
      </c>
      <c r="B177" s="5" t="s">
        <v>502</v>
      </c>
      <c r="C177" s="5" t="s">
        <v>503</v>
      </c>
      <c r="D177" s="5" t="s">
        <v>504</v>
      </c>
      <c r="E177" s="5" t="s">
        <v>14</v>
      </c>
      <c r="F177" s="5" t="s">
        <v>13</v>
      </c>
      <c r="G177" s="5"/>
      <c r="H177" s="4"/>
    </row>
    <row r="178" customFormat="false" ht="35.05" hidden="false" customHeight="false" outlineLevel="0" collapsed="false">
      <c r="A178" s="2" t="n">
        <v>177</v>
      </c>
      <c r="B178" s="2" t="s">
        <v>505</v>
      </c>
      <c r="C178" s="2" t="s">
        <v>91</v>
      </c>
      <c r="D178" s="2" t="s">
        <v>506</v>
      </c>
      <c r="E178" s="2" t="s">
        <v>18</v>
      </c>
      <c r="F178" s="2" t="s">
        <v>17</v>
      </c>
      <c r="G178" s="2"/>
      <c r="H178" s="4"/>
    </row>
    <row r="179" customFormat="false" ht="35.05" hidden="false" customHeight="false" outlineLevel="0" collapsed="false">
      <c r="A179" s="2" t="n">
        <v>178</v>
      </c>
      <c r="B179" s="2" t="s">
        <v>507</v>
      </c>
      <c r="C179" s="2" t="s">
        <v>199</v>
      </c>
      <c r="D179" s="2" t="s">
        <v>508</v>
      </c>
      <c r="E179" s="2" t="s">
        <v>18</v>
      </c>
      <c r="F179" s="2" t="s">
        <v>17</v>
      </c>
      <c r="G179" s="2"/>
      <c r="H179" s="4"/>
    </row>
    <row r="180" customFormat="false" ht="35.05" hidden="false" customHeight="false" outlineLevel="0" collapsed="false">
      <c r="A180" s="2" t="n">
        <v>179</v>
      </c>
      <c r="B180" s="2" t="s">
        <v>509</v>
      </c>
      <c r="C180" s="2" t="s">
        <v>290</v>
      </c>
      <c r="D180" s="2" t="s">
        <v>510</v>
      </c>
      <c r="E180" s="2" t="s">
        <v>20</v>
      </c>
      <c r="F180" s="2" t="s">
        <v>19</v>
      </c>
      <c r="G180" s="2"/>
      <c r="H180" s="4"/>
    </row>
    <row r="181" customFormat="false" ht="35.05" hidden="false" customHeight="false" outlineLevel="0" collapsed="false">
      <c r="A181" s="2" t="n">
        <v>180</v>
      </c>
      <c r="B181" s="2" t="s">
        <v>511</v>
      </c>
      <c r="C181" s="2" t="s">
        <v>91</v>
      </c>
      <c r="D181" s="2" t="s">
        <v>512</v>
      </c>
      <c r="E181" s="2" t="s">
        <v>20</v>
      </c>
      <c r="F181" s="2" t="s">
        <v>19</v>
      </c>
      <c r="G181" s="2"/>
      <c r="H181" s="4"/>
    </row>
    <row r="182" customFormat="false" ht="23.85" hidden="false" customHeight="false" outlineLevel="0" collapsed="false">
      <c r="A182" s="2" t="n">
        <v>181</v>
      </c>
      <c r="B182" s="2" t="s">
        <v>513</v>
      </c>
      <c r="C182" s="2" t="s">
        <v>153</v>
      </c>
      <c r="D182" s="2" t="s">
        <v>514</v>
      </c>
      <c r="E182" s="2" t="s">
        <v>24</v>
      </c>
      <c r="F182" s="2" t="s">
        <v>23</v>
      </c>
      <c r="G182" s="2"/>
      <c r="H182" s="4"/>
    </row>
    <row r="183" customFormat="false" ht="23.85" hidden="false" customHeight="false" outlineLevel="0" collapsed="false">
      <c r="A183" s="2" t="n">
        <v>182</v>
      </c>
      <c r="B183" s="2" t="s">
        <v>515</v>
      </c>
      <c r="C183" s="2" t="s">
        <v>145</v>
      </c>
      <c r="D183" s="2" t="s">
        <v>516</v>
      </c>
      <c r="E183" s="2" t="s">
        <v>18</v>
      </c>
      <c r="F183" s="2" t="s">
        <v>17</v>
      </c>
      <c r="G183" s="2"/>
      <c r="H183" s="4"/>
    </row>
    <row r="184" customFormat="false" ht="35.05" hidden="false" customHeight="false" outlineLevel="0" collapsed="false">
      <c r="A184" s="2" t="n">
        <v>183</v>
      </c>
      <c r="B184" s="2" t="s">
        <v>517</v>
      </c>
      <c r="C184" s="2" t="s">
        <v>40</v>
      </c>
      <c r="D184" s="2" t="s">
        <v>518</v>
      </c>
      <c r="E184" s="2" t="s">
        <v>16</v>
      </c>
      <c r="F184" s="2" t="s">
        <v>15</v>
      </c>
      <c r="G184" s="2"/>
      <c r="H184" s="4"/>
    </row>
    <row r="185" customFormat="false" ht="23.85" hidden="false" customHeight="false" outlineLevel="0" collapsed="false">
      <c r="A185" s="2" t="n">
        <v>184</v>
      </c>
      <c r="B185" s="2" t="s">
        <v>519</v>
      </c>
      <c r="C185" s="2" t="s">
        <v>520</v>
      </c>
      <c r="D185" s="2" t="s">
        <v>521</v>
      </c>
      <c r="E185" s="2" t="s">
        <v>18</v>
      </c>
      <c r="F185" s="2" t="s">
        <v>17</v>
      </c>
      <c r="G185" s="2"/>
      <c r="H185" s="4"/>
    </row>
    <row r="186" customFormat="false" ht="23.85" hidden="false" customHeight="false" outlineLevel="0" collapsed="false">
      <c r="A186" s="2" t="n">
        <v>185</v>
      </c>
      <c r="B186" s="2" t="s">
        <v>522</v>
      </c>
      <c r="C186" s="2" t="s">
        <v>523</v>
      </c>
      <c r="D186" s="2" t="s">
        <v>524</v>
      </c>
      <c r="E186" s="2" t="s">
        <v>18</v>
      </c>
      <c r="F186" s="2" t="s">
        <v>17</v>
      </c>
      <c r="G186" s="2"/>
      <c r="H186" s="4"/>
    </row>
    <row r="187" customFormat="false" ht="46.25" hidden="false" customHeight="false" outlineLevel="0" collapsed="false">
      <c r="A187" s="2" t="n">
        <v>186</v>
      </c>
      <c r="B187" s="2" t="s">
        <v>525</v>
      </c>
      <c r="C187" s="2" t="s">
        <v>125</v>
      </c>
      <c r="D187" s="2" t="s">
        <v>526</v>
      </c>
      <c r="E187" s="2" t="s">
        <v>20</v>
      </c>
      <c r="F187" s="2" t="s">
        <v>19</v>
      </c>
      <c r="G187" s="2"/>
      <c r="H187" s="4"/>
    </row>
    <row r="188" customFormat="false" ht="23.85" hidden="false" customHeight="false" outlineLevel="0" collapsed="false">
      <c r="A188" s="2" t="n">
        <v>187</v>
      </c>
      <c r="B188" s="2" t="s">
        <v>527</v>
      </c>
      <c r="C188" s="2" t="s">
        <v>528</v>
      </c>
      <c r="D188" s="2" t="s">
        <v>529</v>
      </c>
      <c r="E188" s="2" t="s">
        <v>16</v>
      </c>
      <c r="F188" s="2" t="s">
        <v>15</v>
      </c>
      <c r="G188" s="2"/>
      <c r="H188" s="4"/>
    </row>
    <row r="189" customFormat="false" ht="23.85" hidden="false" customHeight="false" outlineLevel="0" collapsed="false">
      <c r="A189" s="5" t="n">
        <v>188</v>
      </c>
      <c r="B189" s="5" t="s">
        <v>530</v>
      </c>
      <c r="C189" s="5" t="s">
        <v>455</v>
      </c>
      <c r="D189" s="5" t="s">
        <v>531</v>
      </c>
      <c r="E189" s="5" t="s">
        <v>14</v>
      </c>
      <c r="F189" s="5" t="s">
        <v>13</v>
      </c>
      <c r="G189" s="5" t="s">
        <v>532</v>
      </c>
      <c r="H189" s="4"/>
    </row>
    <row r="190" customFormat="false" ht="35.05" hidden="false" customHeight="false" outlineLevel="0" collapsed="false">
      <c r="A190" s="2" t="n">
        <v>189</v>
      </c>
      <c r="B190" s="2" t="s">
        <v>533</v>
      </c>
      <c r="C190" s="2" t="s">
        <v>455</v>
      </c>
      <c r="D190" s="2" t="s">
        <v>534</v>
      </c>
      <c r="E190" s="2" t="s">
        <v>20</v>
      </c>
      <c r="F190" s="2" t="s">
        <v>19</v>
      </c>
      <c r="G190" s="2"/>
      <c r="H190" s="4"/>
    </row>
    <row r="191" customFormat="false" ht="35.05" hidden="false" customHeight="false" outlineLevel="0" collapsed="false">
      <c r="A191" s="5" t="n">
        <v>190</v>
      </c>
      <c r="B191" s="5" t="s">
        <v>535</v>
      </c>
      <c r="C191" s="5" t="s">
        <v>536</v>
      </c>
      <c r="D191" s="5" t="s">
        <v>537</v>
      </c>
      <c r="E191" s="5" t="s">
        <v>14</v>
      </c>
      <c r="F191" s="5" t="s">
        <v>13</v>
      </c>
      <c r="G191" s="5"/>
      <c r="H191" s="4"/>
    </row>
    <row r="192" customFormat="false" ht="23.85" hidden="false" customHeight="false" outlineLevel="0" collapsed="false">
      <c r="A192" s="2" t="n">
        <v>191</v>
      </c>
      <c r="B192" s="2" t="s">
        <v>538</v>
      </c>
      <c r="C192" s="2" t="s">
        <v>539</v>
      </c>
      <c r="D192" s="2" t="s">
        <v>540</v>
      </c>
      <c r="E192" s="2" t="s">
        <v>20</v>
      </c>
      <c r="F192" s="2" t="s">
        <v>19</v>
      </c>
      <c r="G192" s="2"/>
      <c r="H192" s="4"/>
    </row>
    <row r="193" customFormat="false" ht="23.85" hidden="false" customHeight="false" outlineLevel="0" collapsed="false">
      <c r="A193" s="2" t="n">
        <v>192</v>
      </c>
      <c r="B193" s="2" t="s">
        <v>541</v>
      </c>
      <c r="C193" s="2" t="s">
        <v>542</v>
      </c>
      <c r="D193" s="2" t="s">
        <v>543</v>
      </c>
      <c r="E193" s="2" t="s">
        <v>24</v>
      </c>
      <c r="F193" s="2" t="s">
        <v>23</v>
      </c>
      <c r="G193" s="2"/>
      <c r="H193" s="4"/>
    </row>
    <row r="194" customFormat="false" ht="23.85" hidden="false" customHeight="false" outlineLevel="0" collapsed="false">
      <c r="A194" s="2" t="n">
        <v>193</v>
      </c>
      <c r="B194" s="2" t="s">
        <v>544</v>
      </c>
      <c r="C194" s="2" t="s">
        <v>40</v>
      </c>
      <c r="D194" s="2" t="s">
        <v>545</v>
      </c>
      <c r="E194" s="2" t="s">
        <v>18</v>
      </c>
      <c r="F194" s="2" t="s">
        <v>17</v>
      </c>
      <c r="G194" s="2"/>
      <c r="H194" s="4"/>
    </row>
    <row r="195" customFormat="false" ht="23.85" hidden="false" customHeight="false" outlineLevel="0" collapsed="false">
      <c r="A195" s="5" t="n">
        <v>194</v>
      </c>
      <c r="B195" s="5" t="s">
        <v>546</v>
      </c>
      <c r="C195" s="5" t="s">
        <v>547</v>
      </c>
      <c r="D195" s="5" t="s">
        <v>548</v>
      </c>
      <c r="E195" s="5" t="s">
        <v>14</v>
      </c>
      <c r="F195" s="5" t="s">
        <v>13</v>
      </c>
      <c r="G195" s="5"/>
      <c r="H195" s="4"/>
    </row>
    <row r="196" customFormat="false" ht="35.05" hidden="false" customHeight="false" outlineLevel="0" collapsed="false">
      <c r="A196" s="2" t="n">
        <v>195</v>
      </c>
      <c r="B196" s="2" t="s">
        <v>549</v>
      </c>
      <c r="C196" s="2" t="s">
        <v>550</v>
      </c>
      <c r="D196" s="2" t="s">
        <v>551</v>
      </c>
      <c r="E196" s="2" t="s">
        <v>24</v>
      </c>
      <c r="F196" s="2" t="s">
        <v>23</v>
      </c>
      <c r="G196" s="2"/>
      <c r="H196" s="4"/>
    </row>
    <row r="197" customFormat="false" ht="23.85" hidden="false" customHeight="false" outlineLevel="0" collapsed="false">
      <c r="A197" s="2" t="n">
        <v>196</v>
      </c>
      <c r="B197" s="2" t="s">
        <v>552</v>
      </c>
      <c r="C197" s="2" t="s">
        <v>500</v>
      </c>
      <c r="D197" s="2" t="s">
        <v>553</v>
      </c>
      <c r="E197" s="2" t="s">
        <v>22</v>
      </c>
      <c r="F197" s="2" t="s">
        <v>21</v>
      </c>
      <c r="G197" s="2"/>
      <c r="H197" s="4"/>
    </row>
    <row r="198" customFormat="false" ht="23.85" hidden="false" customHeight="false" outlineLevel="0" collapsed="false">
      <c r="A198" s="2" t="n">
        <v>197</v>
      </c>
      <c r="B198" s="2" t="s">
        <v>554</v>
      </c>
      <c r="C198" s="2" t="s">
        <v>555</v>
      </c>
      <c r="D198" s="2" t="s">
        <v>556</v>
      </c>
      <c r="E198" s="2" t="s">
        <v>22</v>
      </c>
      <c r="F198" s="2" t="s">
        <v>21</v>
      </c>
      <c r="G198" s="2"/>
      <c r="H198" s="4"/>
    </row>
    <row r="199" customFormat="false" ht="23.85" hidden="false" customHeight="false" outlineLevel="0" collapsed="false">
      <c r="A199" s="2" t="n">
        <v>198</v>
      </c>
      <c r="B199" s="2" t="s">
        <v>557</v>
      </c>
      <c r="C199" s="2" t="s">
        <v>558</v>
      </c>
      <c r="D199" s="2" t="s">
        <v>559</v>
      </c>
      <c r="E199" s="2" t="s">
        <v>20</v>
      </c>
      <c r="F199" s="2" t="s">
        <v>19</v>
      </c>
      <c r="G199" s="2"/>
      <c r="H199" s="4"/>
    </row>
    <row r="200" customFormat="false" ht="23.85" hidden="false" customHeight="false" outlineLevel="0" collapsed="false">
      <c r="A200" s="2" t="n">
        <v>199</v>
      </c>
      <c r="B200" s="2" t="s">
        <v>560</v>
      </c>
      <c r="C200" s="2" t="s">
        <v>561</v>
      </c>
      <c r="D200" s="2" t="s">
        <v>562</v>
      </c>
      <c r="E200" s="2" t="s">
        <v>20</v>
      </c>
      <c r="F200" s="2" t="s">
        <v>19</v>
      </c>
      <c r="G200" s="2"/>
      <c r="H200" s="4"/>
    </row>
    <row r="201" customFormat="false" ht="35.05" hidden="false" customHeight="false" outlineLevel="0" collapsed="false">
      <c r="A201" s="2" t="n">
        <v>200</v>
      </c>
      <c r="B201" s="2" t="s">
        <v>563</v>
      </c>
      <c r="C201" s="2" t="s">
        <v>330</v>
      </c>
      <c r="D201" s="2" t="s">
        <v>564</v>
      </c>
      <c r="E201" s="2" t="s">
        <v>18</v>
      </c>
      <c r="F201" s="2" t="s">
        <v>17</v>
      </c>
      <c r="G201" s="2"/>
      <c r="H201" s="4"/>
    </row>
    <row r="202" customFormat="false" ht="23.85" hidden="false" customHeight="false" outlineLevel="0" collapsed="false">
      <c r="A202" s="2" t="n">
        <v>201</v>
      </c>
      <c r="B202" s="2" t="s">
        <v>565</v>
      </c>
      <c r="C202" s="2" t="s">
        <v>142</v>
      </c>
      <c r="D202" s="2" t="s">
        <v>566</v>
      </c>
      <c r="E202" s="2" t="s">
        <v>16</v>
      </c>
      <c r="F202" s="2" t="s">
        <v>15</v>
      </c>
      <c r="G202" s="2"/>
      <c r="H202" s="4"/>
    </row>
    <row r="203" customFormat="false" ht="23.85" hidden="false" customHeight="false" outlineLevel="0" collapsed="false">
      <c r="A203" s="2" t="n">
        <v>202</v>
      </c>
      <c r="B203" s="2" t="s">
        <v>567</v>
      </c>
      <c r="C203" s="2" t="s">
        <v>568</v>
      </c>
      <c r="D203" s="2" t="s">
        <v>569</v>
      </c>
      <c r="E203" s="2" t="s">
        <v>22</v>
      </c>
      <c r="F203" s="2" t="s">
        <v>21</v>
      </c>
      <c r="G203" s="2"/>
      <c r="H203" s="4"/>
    </row>
    <row r="204" customFormat="false" ht="35.05" hidden="false" customHeight="false" outlineLevel="0" collapsed="false">
      <c r="A204" s="5" t="n">
        <v>203</v>
      </c>
      <c r="B204" s="5" t="s">
        <v>570</v>
      </c>
      <c r="C204" s="5" t="s">
        <v>571</v>
      </c>
      <c r="D204" s="5" t="s">
        <v>572</v>
      </c>
      <c r="E204" s="5" t="s">
        <v>14</v>
      </c>
      <c r="F204" s="5" t="s">
        <v>13</v>
      </c>
      <c r="G204" s="5"/>
      <c r="H204" s="4"/>
    </row>
    <row r="205" customFormat="false" ht="23.85" hidden="false" customHeight="false" outlineLevel="0" collapsed="false">
      <c r="A205" s="2" t="n">
        <v>204</v>
      </c>
      <c r="B205" s="2" t="s">
        <v>573</v>
      </c>
      <c r="C205" s="2" t="s">
        <v>273</v>
      </c>
      <c r="D205" s="2" t="s">
        <v>574</v>
      </c>
      <c r="E205" s="2" t="s">
        <v>16</v>
      </c>
      <c r="F205" s="2" t="s">
        <v>15</v>
      </c>
      <c r="G205" s="2"/>
      <c r="H205" s="4"/>
    </row>
    <row r="206" customFormat="false" ht="23.85" hidden="false" customHeight="false" outlineLevel="0" collapsed="false">
      <c r="A206" s="2" t="n">
        <v>205</v>
      </c>
      <c r="B206" s="2" t="s">
        <v>575</v>
      </c>
      <c r="C206" s="2" t="s">
        <v>576</v>
      </c>
      <c r="D206" s="2" t="s">
        <v>577</v>
      </c>
      <c r="E206" s="2" t="s">
        <v>24</v>
      </c>
      <c r="F206" s="2" t="s">
        <v>23</v>
      </c>
      <c r="G206" s="2"/>
      <c r="H206" s="4"/>
    </row>
    <row r="207" customFormat="false" ht="35.05" hidden="false" customHeight="false" outlineLevel="0" collapsed="false">
      <c r="A207" s="2" t="n">
        <v>206</v>
      </c>
      <c r="B207" s="2" t="s">
        <v>578</v>
      </c>
      <c r="C207" s="2" t="s">
        <v>579</v>
      </c>
      <c r="D207" s="2" t="s">
        <v>580</v>
      </c>
      <c r="E207" s="2" t="s">
        <v>16</v>
      </c>
      <c r="F207" s="2" t="s">
        <v>15</v>
      </c>
      <c r="G207" s="2"/>
      <c r="H207" s="4"/>
    </row>
    <row r="208" customFormat="false" ht="23.85" hidden="false" customHeight="false" outlineLevel="0" collapsed="false">
      <c r="A208" s="2" t="n">
        <v>207</v>
      </c>
      <c r="B208" s="2" t="s">
        <v>581</v>
      </c>
      <c r="C208" s="2" t="s">
        <v>179</v>
      </c>
      <c r="D208" s="2" t="s">
        <v>582</v>
      </c>
      <c r="E208" s="2" t="s">
        <v>18</v>
      </c>
      <c r="F208" s="2" t="s">
        <v>17</v>
      </c>
      <c r="G208" s="2"/>
      <c r="H208" s="4"/>
    </row>
    <row r="209" customFormat="false" ht="23.85" hidden="false" customHeight="false" outlineLevel="0" collapsed="false">
      <c r="A209" s="2" t="n">
        <v>208</v>
      </c>
      <c r="B209" s="2" t="s">
        <v>583</v>
      </c>
      <c r="C209" s="2" t="s">
        <v>79</v>
      </c>
      <c r="D209" s="2" t="s">
        <v>584</v>
      </c>
      <c r="E209" s="2" t="s">
        <v>20</v>
      </c>
      <c r="F209" s="2" t="s">
        <v>19</v>
      </c>
      <c r="G209" s="2"/>
      <c r="H209" s="4"/>
    </row>
    <row r="210" customFormat="false" ht="23.85" hidden="false" customHeight="false" outlineLevel="0" collapsed="false">
      <c r="A210" s="2" t="n">
        <v>209</v>
      </c>
      <c r="B210" s="2" t="s">
        <v>585</v>
      </c>
      <c r="C210" s="2" t="s">
        <v>171</v>
      </c>
      <c r="D210" s="2" t="s">
        <v>586</v>
      </c>
      <c r="E210" s="2" t="s">
        <v>18</v>
      </c>
      <c r="F210" s="2" t="s">
        <v>17</v>
      </c>
      <c r="G210" s="2"/>
      <c r="H210" s="4"/>
    </row>
    <row r="211" customFormat="false" ht="35.05" hidden="false" customHeight="false" outlineLevel="0" collapsed="false">
      <c r="A211" s="2" t="n">
        <v>210</v>
      </c>
      <c r="B211" s="2" t="s">
        <v>587</v>
      </c>
      <c r="C211" s="2" t="s">
        <v>588</v>
      </c>
      <c r="D211" s="2" t="s">
        <v>589</v>
      </c>
      <c r="E211" s="2" t="s">
        <v>20</v>
      </c>
      <c r="F211" s="2" t="s">
        <v>19</v>
      </c>
      <c r="G211" s="2"/>
      <c r="H211" s="4"/>
    </row>
    <row r="212" customFormat="false" ht="23.85" hidden="false" customHeight="false" outlineLevel="0" collapsed="false">
      <c r="A212" s="5" t="n">
        <v>211</v>
      </c>
      <c r="B212" s="5" t="s">
        <v>590</v>
      </c>
      <c r="C212" s="5" t="s">
        <v>591</v>
      </c>
      <c r="D212" s="5" t="s">
        <v>592</v>
      </c>
      <c r="E212" s="5" t="s">
        <v>14</v>
      </c>
      <c r="F212" s="5" t="s">
        <v>13</v>
      </c>
      <c r="G212" s="5"/>
      <c r="H212" s="4"/>
    </row>
    <row r="213" customFormat="false" ht="23.85" hidden="false" customHeight="false" outlineLevel="0" collapsed="false">
      <c r="A213" s="2" t="n">
        <v>212</v>
      </c>
      <c r="B213" s="2" t="s">
        <v>593</v>
      </c>
      <c r="C213" s="2" t="s">
        <v>594</v>
      </c>
      <c r="D213" s="2" t="s">
        <v>595</v>
      </c>
      <c r="E213" s="2" t="s">
        <v>22</v>
      </c>
      <c r="F213" s="2" t="s">
        <v>21</v>
      </c>
      <c r="G213" s="2"/>
      <c r="H213" s="4"/>
    </row>
    <row r="214" customFormat="false" ht="23.85" hidden="false" customHeight="false" outlineLevel="0" collapsed="false">
      <c r="A214" s="2" t="n">
        <v>213</v>
      </c>
      <c r="B214" s="2" t="s">
        <v>596</v>
      </c>
      <c r="C214" s="2" t="s">
        <v>171</v>
      </c>
      <c r="D214" s="2" t="s">
        <v>597</v>
      </c>
      <c r="E214" s="2" t="s">
        <v>18</v>
      </c>
      <c r="F214" s="2" t="s">
        <v>17</v>
      </c>
      <c r="G214" s="2"/>
      <c r="H214" s="4"/>
    </row>
    <row r="215" customFormat="false" ht="23.85" hidden="false" customHeight="false" outlineLevel="0" collapsed="false">
      <c r="A215" s="5" t="n">
        <v>214</v>
      </c>
      <c r="B215" s="5" t="s">
        <v>598</v>
      </c>
      <c r="C215" s="5" t="s">
        <v>599</v>
      </c>
      <c r="D215" s="5" t="s">
        <v>600</v>
      </c>
      <c r="E215" s="5" t="s">
        <v>14</v>
      </c>
      <c r="F215" s="5" t="s">
        <v>13</v>
      </c>
      <c r="G215" s="5"/>
      <c r="H215" s="4"/>
    </row>
    <row r="216" customFormat="false" ht="23.85" hidden="false" customHeight="false" outlineLevel="0" collapsed="false">
      <c r="A216" s="2" t="n">
        <v>215</v>
      </c>
      <c r="B216" s="2" t="s">
        <v>601</v>
      </c>
      <c r="C216" s="2" t="s">
        <v>67</v>
      </c>
      <c r="D216" s="2" t="s">
        <v>602</v>
      </c>
      <c r="E216" s="2" t="s">
        <v>22</v>
      </c>
      <c r="F216" s="2" t="s">
        <v>21</v>
      </c>
      <c r="G216" s="2"/>
      <c r="H216" s="4"/>
    </row>
    <row r="217" customFormat="false" ht="23.85" hidden="false" customHeight="false" outlineLevel="0" collapsed="false">
      <c r="A217" s="2" t="n">
        <v>216</v>
      </c>
      <c r="B217" s="2" t="s">
        <v>603</v>
      </c>
      <c r="C217" s="2" t="s">
        <v>394</v>
      </c>
      <c r="D217" s="2" t="s">
        <v>604</v>
      </c>
      <c r="E217" s="2" t="s">
        <v>20</v>
      </c>
      <c r="F217" s="2" t="s">
        <v>19</v>
      </c>
      <c r="G217" s="2"/>
      <c r="H217" s="4"/>
    </row>
    <row r="218" customFormat="false" ht="23.85" hidden="false" customHeight="false" outlineLevel="0" collapsed="false">
      <c r="A218" s="2" t="n">
        <v>217</v>
      </c>
      <c r="B218" s="2" t="s">
        <v>605</v>
      </c>
      <c r="C218" s="2" t="s">
        <v>606</v>
      </c>
      <c r="D218" s="2" t="s">
        <v>607</v>
      </c>
      <c r="E218" s="2" t="s">
        <v>18</v>
      </c>
      <c r="F218" s="2" t="s">
        <v>17</v>
      </c>
      <c r="G218" s="2"/>
      <c r="H218" s="4"/>
    </row>
    <row r="219" customFormat="false" ht="23.85" hidden="false" customHeight="false" outlineLevel="0" collapsed="false">
      <c r="A219" s="2" t="n">
        <v>218</v>
      </c>
      <c r="B219" s="2" t="s">
        <v>608</v>
      </c>
      <c r="C219" s="2" t="s">
        <v>609</v>
      </c>
      <c r="D219" s="2" t="s">
        <v>610</v>
      </c>
      <c r="E219" s="2" t="s">
        <v>18</v>
      </c>
      <c r="F219" s="2" t="s">
        <v>17</v>
      </c>
      <c r="G219" s="2"/>
      <c r="H219" s="4"/>
    </row>
    <row r="220" customFormat="false" ht="23.85" hidden="false" customHeight="false" outlineLevel="0" collapsed="false">
      <c r="A220" s="2" t="n">
        <v>219</v>
      </c>
      <c r="B220" s="2" t="s">
        <v>611</v>
      </c>
      <c r="C220" s="2" t="s">
        <v>612</v>
      </c>
      <c r="D220" s="2" t="s">
        <v>613</v>
      </c>
      <c r="E220" s="2" t="s">
        <v>18</v>
      </c>
      <c r="F220" s="2" t="s">
        <v>17</v>
      </c>
      <c r="G220" s="2"/>
      <c r="H220" s="4"/>
    </row>
    <row r="221" customFormat="false" ht="35.05" hidden="false" customHeight="false" outlineLevel="0" collapsed="false">
      <c r="A221" s="5" t="n">
        <v>220</v>
      </c>
      <c r="B221" s="5" t="s">
        <v>614</v>
      </c>
      <c r="C221" s="5" t="s">
        <v>142</v>
      </c>
      <c r="D221" s="5" t="s">
        <v>615</v>
      </c>
      <c r="E221" s="5" t="s">
        <v>14</v>
      </c>
      <c r="F221" s="5" t="s">
        <v>13</v>
      </c>
      <c r="G221" s="5"/>
      <c r="H221" s="4"/>
    </row>
    <row r="222" customFormat="false" ht="23.85" hidden="false" customHeight="false" outlineLevel="0" collapsed="false">
      <c r="A222" s="2" t="n">
        <v>221</v>
      </c>
      <c r="B222" s="2" t="s">
        <v>616</v>
      </c>
      <c r="C222" s="2" t="s">
        <v>179</v>
      </c>
      <c r="D222" s="2" t="s">
        <v>617</v>
      </c>
      <c r="E222" s="2" t="s">
        <v>16</v>
      </c>
      <c r="F222" s="2" t="s">
        <v>15</v>
      </c>
      <c r="G222" s="2"/>
      <c r="H222" s="4"/>
    </row>
    <row r="223" customFormat="false" ht="23.85" hidden="false" customHeight="false" outlineLevel="0" collapsed="false">
      <c r="A223" s="5" t="n">
        <v>222</v>
      </c>
      <c r="B223" s="5" t="s">
        <v>618</v>
      </c>
      <c r="C223" s="5" t="s">
        <v>520</v>
      </c>
      <c r="D223" s="5" t="s">
        <v>619</v>
      </c>
      <c r="E223" s="5" t="s">
        <v>14</v>
      </c>
      <c r="F223" s="5" t="s">
        <v>13</v>
      </c>
      <c r="G223" s="5"/>
      <c r="H223" s="4"/>
    </row>
    <row r="224" customFormat="false" ht="23.85" hidden="false" customHeight="false" outlineLevel="0" collapsed="false">
      <c r="A224" s="2" t="n">
        <v>223</v>
      </c>
      <c r="B224" s="2" t="s">
        <v>620</v>
      </c>
      <c r="C224" s="2" t="s">
        <v>145</v>
      </c>
      <c r="D224" s="2" t="s">
        <v>621</v>
      </c>
      <c r="E224" s="2" t="s">
        <v>20</v>
      </c>
      <c r="F224" s="2" t="s">
        <v>19</v>
      </c>
      <c r="G224" s="2"/>
      <c r="H224" s="4"/>
    </row>
    <row r="225" customFormat="false" ht="23.85" hidden="false" customHeight="false" outlineLevel="0" collapsed="false">
      <c r="A225" s="2" t="n">
        <v>224</v>
      </c>
      <c r="B225" s="2" t="s">
        <v>622</v>
      </c>
      <c r="C225" s="2" t="s">
        <v>623</v>
      </c>
      <c r="D225" s="2" t="s">
        <v>624</v>
      </c>
      <c r="E225" s="2" t="s">
        <v>20</v>
      </c>
      <c r="F225" s="2" t="s">
        <v>19</v>
      </c>
      <c r="G225" s="2"/>
      <c r="H225" s="4"/>
    </row>
    <row r="226" customFormat="false" ht="23.85" hidden="false" customHeight="false" outlineLevel="0" collapsed="false">
      <c r="A226" s="2" t="n">
        <v>225</v>
      </c>
      <c r="B226" s="2" t="s">
        <v>625</v>
      </c>
      <c r="C226" s="2" t="s">
        <v>626</v>
      </c>
      <c r="D226" s="2" t="s">
        <v>627</v>
      </c>
      <c r="E226" s="2" t="s">
        <v>20</v>
      </c>
      <c r="F226" s="2" t="s">
        <v>19</v>
      </c>
      <c r="G226" s="2"/>
      <c r="H226" s="4"/>
    </row>
    <row r="227" customFormat="false" ht="35.05" hidden="false" customHeight="false" outlineLevel="0" collapsed="false">
      <c r="A227" s="2" t="n">
        <v>226</v>
      </c>
      <c r="B227" s="2" t="s">
        <v>628</v>
      </c>
      <c r="C227" s="2" t="s">
        <v>629</v>
      </c>
      <c r="D227" s="2" t="s">
        <v>630</v>
      </c>
      <c r="E227" s="2" t="s">
        <v>18</v>
      </c>
      <c r="F227" s="2" t="s">
        <v>17</v>
      </c>
      <c r="G227" s="2"/>
      <c r="H227" s="4"/>
    </row>
    <row r="228" customFormat="false" ht="35.05" hidden="false" customHeight="false" outlineLevel="0" collapsed="false">
      <c r="A228" s="2" t="n">
        <v>227</v>
      </c>
      <c r="B228" s="2" t="s">
        <v>631</v>
      </c>
      <c r="C228" s="2" t="s">
        <v>243</v>
      </c>
      <c r="D228" s="2" t="s">
        <v>632</v>
      </c>
      <c r="E228" s="2" t="s">
        <v>18</v>
      </c>
      <c r="F228" s="2" t="s">
        <v>17</v>
      </c>
      <c r="G228" s="2"/>
      <c r="H228" s="4"/>
    </row>
    <row r="229" customFormat="false" ht="23.85" hidden="false" customHeight="false" outlineLevel="0" collapsed="false">
      <c r="A229" s="2" t="n">
        <v>228</v>
      </c>
      <c r="B229" s="2" t="s">
        <v>633</v>
      </c>
      <c r="C229" s="2" t="s">
        <v>634</v>
      </c>
      <c r="D229" s="2" t="s">
        <v>635</v>
      </c>
      <c r="E229" s="2" t="s">
        <v>20</v>
      </c>
      <c r="F229" s="2" t="s">
        <v>19</v>
      </c>
      <c r="G229" s="2"/>
      <c r="H229" s="4"/>
    </row>
    <row r="230" customFormat="false" ht="35.05" hidden="false" customHeight="false" outlineLevel="0" collapsed="false">
      <c r="A230" s="2" t="n">
        <v>229</v>
      </c>
      <c r="B230" s="2" t="s">
        <v>636</v>
      </c>
      <c r="C230" s="2" t="s">
        <v>558</v>
      </c>
      <c r="D230" s="2" t="s">
        <v>637</v>
      </c>
      <c r="E230" s="2" t="s">
        <v>20</v>
      </c>
      <c r="F230" s="2" t="s">
        <v>19</v>
      </c>
      <c r="G230" s="2"/>
      <c r="H230" s="4"/>
    </row>
    <row r="231" customFormat="false" ht="23.85" hidden="false" customHeight="false" outlineLevel="0" collapsed="false">
      <c r="A231" s="2" t="n">
        <v>230</v>
      </c>
      <c r="B231" s="2" t="s">
        <v>638</v>
      </c>
      <c r="C231" s="2" t="s">
        <v>639</v>
      </c>
      <c r="D231" s="2" t="s">
        <v>640</v>
      </c>
      <c r="E231" s="2" t="s">
        <v>22</v>
      </c>
      <c r="F231" s="2" t="s">
        <v>21</v>
      </c>
      <c r="G231" s="2"/>
      <c r="H231" s="4"/>
    </row>
    <row r="232" customFormat="false" ht="23.85" hidden="false" customHeight="false" outlineLevel="0" collapsed="false">
      <c r="A232" s="2" t="n">
        <v>231</v>
      </c>
      <c r="B232" s="2" t="s">
        <v>641</v>
      </c>
      <c r="C232" s="2" t="s">
        <v>642</v>
      </c>
      <c r="D232" s="2" t="s">
        <v>643</v>
      </c>
      <c r="E232" s="2" t="s">
        <v>22</v>
      </c>
      <c r="F232" s="2" t="s">
        <v>21</v>
      </c>
      <c r="G232" s="2"/>
      <c r="H232" s="4"/>
    </row>
    <row r="233" customFormat="false" ht="35.05" hidden="false" customHeight="false" outlineLevel="0" collapsed="false">
      <c r="A233" s="2" t="n">
        <v>232</v>
      </c>
      <c r="B233" s="2" t="s">
        <v>644</v>
      </c>
      <c r="C233" s="2" t="s">
        <v>179</v>
      </c>
      <c r="D233" s="2" t="s">
        <v>645</v>
      </c>
      <c r="E233" s="2" t="s">
        <v>22</v>
      </c>
      <c r="F233" s="2" t="s">
        <v>21</v>
      </c>
      <c r="G233" s="2"/>
      <c r="H233" s="4"/>
    </row>
    <row r="234" customFormat="false" ht="46.25" hidden="false" customHeight="false" outlineLevel="0" collapsed="false">
      <c r="A234" s="2" t="n">
        <v>233</v>
      </c>
      <c r="B234" s="2" t="s">
        <v>646</v>
      </c>
      <c r="C234" s="2" t="s">
        <v>647</v>
      </c>
      <c r="D234" s="2" t="s">
        <v>648</v>
      </c>
      <c r="E234" s="2" t="s">
        <v>18</v>
      </c>
      <c r="F234" s="2" t="s">
        <v>17</v>
      </c>
      <c r="G234" s="2"/>
      <c r="H234" s="4"/>
    </row>
    <row r="235" customFormat="false" ht="23.85" hidden="false" customHeight="false" outlineLevel="0" collapsed="false">
      <c r="A235" s="2" t="n">
        <v>234</v>
      </c>
      <c r="B235" s="2" t="s">
        <v>649</v>
      </c>
      <c r="C235" s="2" t="s">
        <v>402</v>
      </c>
      <c r="D235" s="2" t="s">
        <v>650</v>
      </c>
      <c r="E235" s="2" t="s">
        <v>16</v>
      </c>
      <c r="F235" s="2" t="s">
        <v>15</v>
      </c>
      <c r="G235" s="2"/>
      <c r="H235" s="4"/>
    </row>
    <row r="236" customFormat="false" ht="23.85" hidden="false" customHeight="false" outlineLevel="0" collapsed="false">
      <c r="A236" s="2" t="n">
        <v>235</v>
      </c>
      <c r="B236" s="2" t="s">
        <v>651</v>
      </c>
      <c r="C236" s="2" t="s">
        <v>588</v>
      </c>
      <c r="D236" s="2" t="s">
        <v>652</v>
      </c>
      <c r="E236" s="2" t="s">
        <v>16</v>
      </c>
      <c r="F236" s="2" t="s">
        <v>15</v>
      </c>
      <c r="G236" s="2"/>
      <c r="H236" s="4"/>
    </row>
    <row r="237" customFormat="false" ht="23.85" hidden="false" customHeight="false" outlineLevel="0" collapsed="false">
      <c r="A237" s="2" t="n">
        <v>236</v>
      </c>
      <c r="B237" s="2" t="s">
        <v>653</v>
      </c>
      <c r="C237" s="2" t="s">
        <v>179</v>
      </c>
      <c r="D237" s="2" t="s">
        <v>654</v>
      </c>
      <c r="E237" s="2" t="s">
        <v>22</v>
      </c>
      <c r="F237" s="2" t="s">
        <v>21</v>
      </c>
      <c r="G237" s="2"/>
      <c r="H237" s="4"/>
    </row>
    <row r="238" customFormat="false" ht="23.85" hidden="false" customHeight="false" outlineLevel="0" collapsed="false">
      <c r="A238" s="2" t="n">
        <v>237</v>
      </c>
      <c r="B238" s="2" t="s">
        <v>655</v>
      </c>
      <c r="C238" s="2" t="s">
        <v>656</v>
      </c>
      <c r="D238" s="2" t="s">
        <v>657</v>
      </c>
      <c r="E238" s="2" t="s">
        <v>16</v>
      </c>
      <c r="F238" s="2" t="s">
        <v>15</v>
      </c>
      <c r="G238" s="2"/>
      <c r="H238" s="4"/>
    </row>
    <row r="239" customFormat="false" ht="23.85" hidden="false" customHeight="false" outlineLevel="0" collapsed="false">
      <c r="A239" s="2" t="n">
        <v>238</v>
      </c>
      <c r="B239" s="2" t="s">
        <v>658</v>
      </c>
      <c r="C239" s="2" t="s">
        <v>426</v>
      </c>
      <c r="D239" s="2" t="s">
        <v>659</v>
      </c>
      <c r="E239" s="2" t="s">
        <v>20</v>
      </c>
      <c r="F239" s="2" t="s">
        <v>19</v>
      </c>
      <c r="G239" s="2"/>
      <c r="H239" s="4"/>
    </row>
    <row r="240" customFormat="false" ht="23.85" hidden="false" customHeight="false" outlineLevel="0" collapsed="false">
      <c r="A240" s="2" t="n">
        <v>239</v>
      </c>
      <c r="B240" s="2" t="s">
        <v>660</v>
      </c>
      <c r="C240" s="2" t="s">
        <v>661</v>
      </c>
      <c r="D240" s="2" t="s">
        <v>662</v>
      </c>
      <c r="E240" s="2" t="s">
        <v>16</v>
      </c>
      <c r="F240" s="2" t="s">
        <v>15</v>
      </c>
      <c r="G240" s="2"/>
      <c r="H240" s="4"/>
    </row>
    <row r="241" customFormat="false" ht="23.85" hidden="false" customHeight="false" outlineLevel="0" collapsed="false">
      <c r="A241" s="2" t="n">
        <v>240</v>
      </c>
      <c r="B241" s="2" t="s">
        <v>663</v>
      </c>
      <c r="C241" s="2" t="s">
        <v>664</v>
      </c>
      <c r="D241" s="2" t="s">
        <v>665</v>
      </c>
      <c r="E241" s="2" t="s">
        <v>20</v>
      </c>
      <c r="F241" s="2" t="s">
        <v>19</v>
      </c>
      <c r="G241" s="2"/>
      <c r="H241" s="4"/>
    </row>
    <row r="242" customFormat="false" ht="23.85" hidden="false" customHeight="false" outlineLevel="0" collapsed="false">
      <c r="A242" s="2" t="n">
        <v>241</v>
      </c>
      <c r="B242" s="2" t="s">
        <v>666</v>
      </c>
      <c r="C242" s="2" t="s">
        <v>667</v>
      </c>
      <c r="D242" s="2" t="s">
        <v>668</v>
      </c>
      <c r="E242" s="2" t="s">
        <v>20</v>
      </c>
      <c r="F242" s="2" t="s">
        <v>19</v>
      </c>
      <c r="G242" s="2"/>
      <c r="H242" s="4"/>
    </row>
    <row r="243" customFormat="false" ht="23.85" hidden="false" customHeight="false" outlineLevel="0" collapsed="false">
      <c r="A243" s="2" t="n">
        <v>242</v>
      </c>
      <c r="B243" s="2" t="s">
        <v>669</v>
      </c>
      <c r="C243" s="2" t="s">
        <v>171</v>
      </c>
      <c r="D243" s="2" t="s">
        <v>670</v>
      </c>
      <c r="E243" s="2" t="s">
        <v>16</v>
      </c>
      <c r="F243" s="2" t="s">
        <v>15</v>
      </c>
      <c r="G243" s="2"/>
      <c r="H243" s="4"/>
    </row>
    <row r="244" customFormat="false" ht="46.25" hidden="false" customHeight="false" outlineLevel="0" collapsed="false">
      <c r="A244" s="2" t="n">
        <v>243</v>
      </c>
      <c r="B244" s="2" t="s">
        <v>671</v>
      </c>
      <c r="C244" s="2" t="s">
        <v>672</v>
      </c>
      <c r="D244" s="2" t="s">
        <v>673</v>
      </c>
      <c r="E244" s="2" t="s">
        <v>24</v>
      </c>
      <c r="F244" s="2" t="s">
        <v>23</v>
      </c>
      <c r="G244" s="2"/>
      <c r="H244" s="4"/>
    </row>
    <row r="245" customFormat="false" ht="23.85" hidden="false" customHeight="false" outlineLevel="0" collapsed="false">
      <c r="A245" s="2" t="n">
        <v>244</v>
      </c>
      <c r="B245" s="2" t="s">
        <v>674</v>
      </c>
      <c r="C245" s="2" t="s">
        <v>243</v>
      </c>
      <c r="D245" s="2" t="s">
        <v>675</v>
      </c>
      <c r="E245" s="2" t="s">
        <v>20</v>
      </c>
      <c r="F245" s="2" t="s">
        <v>19</v>
      </c>
      <c r="G245" s="2"/>
      <c r="H245" s="4"/>
    </row>
    <row r="246" customFormat="false" ht="23.85" hidden="false" customHeight="false" outlineLevel="0" collapsed="false">
      <c r="A246" s="2" t="n">
        <v>245</v>
      </c>
      <c r="B246" s="2" t="s">
        <v>676</v>
      </c>
      <c r="C246" s="2" t="s">
        <v>256</v>
      </c>
      <c r="D246" s="2" t="s">
        <v>677</v>
      </c>
      <c r="E246" s="2" t="s">
        <v>20</v>
      </c>
      <c r="F246" s="2" t="s">
        <v>19</v>
      </c>
      <c r="G246" s="2"/>
      <c r="H246" s="4"/>
    </row>
    <row r="247" customFormat="false" ht="23.85" hidden="false" customHeight="false" outlineLevel="0" collapsed="false">
      <c r="A247" s="2" t="n">
        <v>246</v>
      </c>
      <c r="B247" s="2" t="s">
        <v>678</v>
      </c>
      <c r="C247" s="2" t="s">
        <v>679</v>
      </c>
      <c r="D247" s="2" t="s">
        <v>680</v>
      </c>
      <c r="E247" s="2" t="s">
        <v>20</v>
      </c>
      <c r="F247" s="2" t="s">
        <v>19</v>
      </c>
      <c r="G247" s="2"/>
      <c r="H247" s="4"/>
    </row>
    <row r="248" customFormat="false" ht="23.85" hidden="false" customHeight="false" outlineLevel="0" collapsed="false">
      <c r="A248" s="5" t="n">
        <v>247</v>
      </c>
      <c r="B248" s="5" t="s">
        <v>681</v>
      </c>
      <c r="C248" s="5" t="s">
        <v>609</v>
      </c>
      <c r="D248" s="5" t="s">
        <v>682</v>
      </c>
      <c r="E248" s="5" t="s">
        <v>14</v>
      </c>
      <c r="F248" s="5" t="s">
        <v>13</v>
      </c>
      <c r="G248" s="5"/>
      <c r="H248" s="4"/>
    </row>
    <row r="249" customFormat="false" ht="23.85" hidden="false" customHeight="false" outlineLevel="0" collapsed="false">
      <c r="A249" s="2" t="n">
        <v>248</v>
      </c>
      <c r="B249" s="2" t="s">
        <v>683</v>
      </c>
      <c r="C249" s="2" t="s">
        <v>612</v>
      </c>
      <c r="D249" s="2" t="s">
        <v>684</v>
      </c>
      <c r="E249" s="2" t="s">
        <v>18</v>
      </c>
      <c r="F249" s="2" t="s">
        <v>17</v>
      </c>
      <c r="G249" s="2"/>
      <c r="H249" s="4"/>
    </row>
    <row r="250" customFormat="false" ht="35.05" hidden="false" customHeight="false" outlineLevel="0" collapsed="false">
      <c r="A250" s="2" t="n">
        <v>249</v>
      </c>
      <c r="B250" s="2" t="s">
        <v>685</v>
      </c>
      <c r="C250" s="2" t="s">
        <v>193</v>
      </c>
      <c r="D250" s="2" t="s">
        <v>686</v>
      </c>
      <c r="E250" s="2" t="s">
        <v>20</v>
      </c>
      <c r="F250" s="2" t="s">
        <v>19</v>
      </c>
      <c r="G250" s="2"/>
      <c r="H250" s="4"/>
    </row>
    <row r="251" customFormat="false" ht="23.85" hidden="false" customHeight="false" outlineLevel="0" collapsed="false">
      <c r="A251" s="2" t="n">
        <v>250</v>
      </c>
      <c r="B251" s="2" t="s">
        <v>687</v>
      </c>
      <c r="C251" s="2" t="s">
        <v>688</v>
      </c>
      <c r="D251" s="2" t="s">
        <v>689</v>
      </c>
      <c r="E251" s="2" t="s">
        <v>18</v>
      </c>
      <c r="F251" s="2" t="s">
        <v>17</v>
      </c>
      <c r="G251" s="2"/>
      <c r="H251" s="4"/>
    </row>
    <row r="252" customFormat="false" ht="23.85" hidden="false" customHeight="false" outlineLevel="0" collapsed="false">
      <c r="A252" s="2" t="n">
        <v>251</v>
      </c>
      <c r="B252" s="2" t="s">
        <v>690</v>
      </c>
      <c r="C252" s="2" t="s">
        <v>691</v>
      </c>
      <c r="D252" s="2" t="s">
        <v>692</v>
      </c>
      <c r="E252" s="2" t="s">
        <v>20</v>
      </c>
      <c r="F252" s="2" t="s">
        <v>19</v>
      </c>
      <c r="G252" s="2"/>
      <c r="H252" s="4"/>
    </row>
    <row r="253" customFormat="false" ht="23.85" hidden="false" customHeight="false" outlineLevel="0" collapsed="false">
      <c r="A253" s="2" t="n">
        <v>252</v>
      </c>
      <c r="B253" s="2" t="s">
        <v>693</v>
      </c>
      <c r="C253" s="2" t="s">
        <v>694</v>
      </c>
      <c r="D253" s="2" t="s">
        <v>695</v>
      </c>
      <c r="E253" s="2" t="s">
        <v>16</v>
      </c>
      <c r="F253" s="2" t="s">
        <v>15</v>
      </c>
      <c r="G253" s="2"/>
      <c r="H253" s="4"/>
    </row>
    <row r="254" customFormat="false" ht="23.85" hidden="false" customHeight="false" outlineLevel="0" collapsed="false">
      <c r="A254" s="2" t="n">
        <v>253</v>
      </c>
      <c r="B254" s="2" t="s">
        <v>696</v>
      </c>
      <c r="C254" s="2" t="s">
        <v>697</v>
      </c>
      <c r="D254" s="2" t="s">
        <v>698</v>
      </c>
      <c r="E254" s="2" t="s">
        <v>20</v>
      </c>
      <c r="F254" s="2" t="s">
        <v>19</v>
      </c>
      <c r="G254" s="2"/>
      <c r="H254" s="4"/>
    </row>
    <row r="255" customFormat="false" ht="23.85" hidden="false" customHeight="false" outlineLevel="0" collapsed="false">
      <c r="A255" s="2" t="n">
        <v>254</v>
      </c>
      <c r="B255" s="2" t="s">
        <v>699</v>
      </c>
      <c r="C255" s="2" t="s">
        <v>700</v>
      </c>
      <c r="D255" s="2" t="s">
        <v>701</v>
      </c>
      <c r="E255" s="2" t="s">
        <v>20</v>
      </c>
      <c r="F255" s="2" t="s">
        <v>19</v>
      </c>
      <c r="G255" s="2"/>
      <c r="H255" s="4"/>
    </row>
    <row r="256" customFormat="false" ht="23.85" hidden="false" customHeight="false" outlineLevel="0" collapsed="false">
      <c r="A256" s="2" t="n">
        <v>255</v>
      </c>
      <c r="B256" s="2" t="s">
        <v>702</v>
      </c>
      <c r="C256" s="2" t="s">
        <v>703</v>
      </c>
      <c r="D256" s="2" t="s">
        <v>704</v>
      </c>
      <c r="E256" s="2" t="s">
        <v>18</v>
      </c>
      <c r="F256" s="2" t="s">
        <v>17</v>
      </c>
      <c r="G256" s="2"/>
      <c r="H256" s="4"/>
    </row>
    <row r="257" customFormat="false" ht="23.85" hidden="false" customHeight="false" outlineLevel="0" collapsed="false">
      <c r="A257" s="2" t="n">
        <v>256</v>
      </c>
      <c r="B257" s="2" t="s">
        <v>705</v>
      </c>
      <c r="C257" s="2" t="s">
        <v>706</v>
      </c>
      <c r="D257" s="2" t="s">
        <v>707</v>
      </c>
      <c r="E257" s="2" t="s">
        <v>22</v>
      </c>
      <c r="F257" s="2" t="s">
        <v>21</v>
      </c>
      <c r="G257" s="2"/>
      <c r="H257" s="4"/>
    </row>
    <row r="258" customFormat="false" ht="35.05" hidden="false" customHeight="false" outlineLevel="0" collapsed="false">
      <c r="A258" s="2" t="n">
        <v>257</v>
      </c>
      <c r="B258" s="2" t="s">
        <v>708</v>
      </c>
      <c r="C258" s="2" t="s">
        <v>709</v>
      </c>
      <c r="D258" s="2" t="s">
        <v>710</v>
      </c>
      <c r="E258" s="2" t="s">
        <v>24</v>
      </c>
      <c r="F258" s="2" t="s">
        <v>23</v>
      </c>
      <c r="G258" s="2"/>
      <c r="H258" s="4"/>
    </row>
    <row r="259" customFormat="false" ht="23.85" hidden="false" customHeight="false" outlineLevel="0" collapsed="false">
      <c r="A259" s="2" t="n">
        <v>258</v>
      </c>
      <c r="B259" s="2" t="s">
        <v>711</v>
      </c>
      <c r="C259" s="2" t="s">
        <v>712</v>
      </c>
      <c r="D259" s="2" t="s">
        <v>713</v>
      </c>
      <c r="E259" s="2" t="s">
        <v>20</v>
      </c>
      <c r="F259" s="2" t="s">
        <v>19</v>
      </c>
      <c r="G259" s="2"/>
      <c r="H259" s="4"/>
    </row>
    <row r="260" customFormat="false" ht="35.05" hidden="false" customHeight="false" outlineLevel="0" collapsed="false">
      <c r="A260" s="5" t="n">
        <v>259</v>
      </c>
      <c r="B260" s="5" t="s">
        <v>714</v>
      </c>
      <c r="C260" s="5" t="s">
        <v>715</v>
      </c>
      <c r="D260" s="5" t="s">
        <v>716</v>
      </c>
      <c r="E260" s="5" t="s">
        <v>14</v>
      </c>
      <c r="F260" s="5" t="s">
        <v>13</v>
      </c>
      <c r="G260" s="5"/>
      <c r="H260" s="4"/>
    </row>
    <row r="261" customFormat="false" ht="23.85" hidden="false" customHeight="false" outlineLevel="0" collapsed="false">
      <c r="A261" s="2" t="n">
        <v>260</v>
      </c>
      <c r="B261" s="2" t="s">
        <v>717</v>
      </c>
      <c r="C261" s="2" t="s">
        <v>243</v>
      </c>
      <c r="D261" s="2" t="s">
        <v>718</v>
      </c>
      <c r="E261" s="2" t="s">
        <v>20</v>
      </c>
      <c r="F261" s="2" t="s">
        <v>19</v>
      </c>
      <c r="G261" s="2"/>
      <c r="H261" s="4"/>
    </row>
    <row r="262" customFormat="false" ht="23.85" hidden="false" customHeight="false" outlineLevel="0" collapsed="false">
      <c r="A262" s="2" t="n">
        <v>261</v>
      </c>
      <c r="B262" s="2" t="s">
        <v>719</v>
      </c>
      <c r="C262" s="2" t="s">
        <v>139</v>
      </c>
      <c r="D262" s="2" t="s">
        <v>720</v>
      </c>
      <c r="E262" s="2" t="s">
        <v>22</v>
      </c>
      <c r="F262" s="2" t="s">
        <v>21</v>
      </c>
      <c r="G262" s="2"/>
      <c r="H262" s="4"/>
    </row>
    <row r="263" customFormat="false" ht="35.05" hidden="false" customHeight="false" outlineLevel="0" collapsed="false">
      <c r="A263" s="2" t="n">
        <v>262</v>
      </c>
      <c r="B263" s="2" t="s">
        <v>721</v>
      </c>
      <c r="C263" s="2" t="s">
        <v>405</v>
      </c>
      <c r="D263" s="2" t="s">
        <v>722</v>
      </c>
      <c r="E263" s="2" t="s">
        <v>18</v>
      </c>
      <c r="F263" s="2" t="s">
        <v>17</v>
      </c>
      <c r="G263" s="2"/>
      <c r="H263" s="4"/>
    </row>
    <row r="264" customFormat="false" ht="23.85" hidden="false" customHeight="false" outlineLevel="0" collapsed="false">
      <c r="A264" s="2" t="n">
        <v>263</v>
      </c>
      <c r="B264" s="2" t="s">
        <v>723</v>
      </c>
      <c r="C264" s="2" t="s">
        <v>724</v>
      </c>
      <c r="D264" s="2" t="s">
        <v>725</v>
      </c>
      <c r="E264" s="2" t="s">
        <v>18</v>
      </c>
      <c r="F264" s="2" t="s">
        <v>17</v>
      </c>
      <c r="G264" s="2"/>
      <c r="H264" s="4"/>
    </row>
    <row r="265" customFormat="false" ht="35.05" hidden="false" customHeight="false" outlineLevel="0" collapsed="false">
      <c r="A265" s="2" t="n">
        <v>264</v>
      </c>
      <c r="B265" s="2" t="s">
        <v>726</v>
      </c>
      <c r="C265" s="2" t="s">
        <v>193</v>
      </c>
      <c r="D265" s="2" t="s">
        <v>727</v>
      </c>
      <c r="E265" s="2" t="s">
        <v>20</v>
      </c>
      <c r="F265" s="2" t="s">
        <v>19</v>
      </c>
      <c r="G265" s="2"/>
      <c r="H265" s="4"/>
    </row>
    <row r="266" customFormat="false" ht="35.05" hidden="false" customHeight="false" outlineLevel="0" collapsed="false">
      <c r="A266" s="5" t="n">
        <v>265</v>
      </c>
      <c r="B266" s="5" t="s">
        <v>728</v>
      </c>
      <c r="C266" s="5" t="s">
        <v>193</v>
      </c>
      <c r="D266" s="5" t="s">
        <v>729</v>
      </c>
      <c r="E266" s="5" t="s">
        <v>14</v>
      </c>
      <c r="F266" s="5" t="s">
        <v>13</v>
      </c>
      <c r="G266" s="5"/>
      <c r="H266" s="4"/>
    </row>
    <row r="267" customFormat="false" ht="35.05" hidden="false" customHeight="false" outlineLevel="0" collapsed="false">
      <c r="A267" s="2" t="n">
        <v>266</v>
      </c>
      <c r="B267" s="2" t="s">
        <v>730</v>
      </c>
      <c r="C267" s="2" t="s">
        <v>731</v>
      </c>
      <c r="D267" s="2" t="s">
        <v>732</v>
      </c>
      <c r="E267" s="2" t="s">
        <v>22</v>
      </c>
      <c r="F267" s="2" t="s">
        <v>21</v>
      </c>
      <c r="G267" s="2"/>
      <c r="H267" s="4"/>
    </row>
    <row r="268" customFormat="false" ht="23.85" hidden="false" customHeight="false" outlineLevel="0" collapsed="false">
      <c r="A268" s="2" t="n">
        <v>267</v>
      </c>
      <c r="B268" s="2" t="s">
        <v>733</v>
      </c>
      <c r="C268" s="2" t="s">
        <v>734</v>
      </c>
      <c r="D268" s="2" t="s">
        <v>735</v>
      </c>
      <c r="E268" s="2" t="s">
        <v>18</v>
      </c>
      <c r="F268" s="2" t="s">
        <v>17</v>
      </c>
      <c r="G268" s="2"/>
      <c r="H268" s="4"/>
    </row>
    <row r="269" customFormat="false" ht="23.85" hidden="false" customHeight="false" outlineLevel="0" collapsed="false">
      <c r="A269" s="2" t="n">
        <v>268</v>
      </c>
      <c r="B269" s="2" t="s">
        <v>736</v>
      </c>
      <c r="C269" s="2" t="s">
        <v>737</v>
      </c>
      <c r="D269" s="2" t="s">
        <v>738</v>
      </c>
      <c r="E269" s="2" t="s">
        <v>20</v>
      </c>
      <c r="F269" s="2" t="s">
        <v>19</v>
      </c>
      <c r="G269" s="2"/>
      <c r="H269" s="4"/>
    </row>
    <row r="270" customFormat="false" ht="35.05" hidden="false" customHeight="false" outlineLevel="0" collapsed="false">
      <c r="A270" s="2" t="n">
        <v>269</v>
      </c>
      <c r="B270" s="2" t="s">
        <v>739</v>
      </c>
      <c r="C270" s="2" t="s">
        <v>740</v>
      </c>
      <c r="D270" s="2" t="s">
        <v>741</v>
      </c>
      <c r="E270" s="2" t="s">
        <v>24</v>
      </c>
      <c r="F270" s="2" t="s">
        <v>23</v>
      </c>
      <c r="G270" s="2"/>
      <c r="H270" s="4"/>
    </row>
    <row r="271" customFormat="false" ht="23.85" hidden="false" customHeight="false" outlineLevel="0" collapsed="false">
      <c r="A271" s="2" t="n">
        <v>270</v>
      </c>
      <c r="B271" s="2" t="s">
        <v>742</v>
      </c>
      <c r="C271" s="2" t="s">
        <v>433</v>
      </c>
      <c r="D271" s="2" t="s">
        <v>743</v>
      </c>
      <c r="E271" s="2" t="s">
        <v>20</v>
      </c>
      <c r="F271" s="2" t="s">
        <v>19</v>
      </c>
      <c r="G271" s="2"/>
      <c r="H271" s="4"/>
    </row>
    <row r="272" customFormat="false" ht="23.85" hidden="false" customHeight="false" outlineLevel="0" collapsed="false">
      <c r="A272" s="2" t="n">
        <v>271</v>
      </c>
      <c r="B272" s="2" t="s">
        <v>744</v>
      </c>
      <c r="C272" s="2" t="s">
        <v>125</v>
      </c>
      <c r="D272" s="2" t="s">
        <v>745</v>
      </c>
      <c r="E272" s="2" t="s">
        <v>18</v>
      </c>
      <c r="F272" s="2" t="s">
        <v>17</v>
      </c>
      <c r="G272" s="2"/>
      <c r="H272" s="4"/>
    </row>
    <row r="273" customFormat="false" ht="23.85" hidden="false" customHeight="false" outlineLevel="0" collapsed="false">
      <c r="A273" s="2" t="n">
        <v>272</v>
      </c>
      <c r="B273" s="2" t="s">
        <v>746</v>
      </c>
      <c r="C273" s="2" t="s">
        <v>747</v>
      </c>
      <c r="D273" s="2" t="s">
        <v>748</v>
      </c>
      <c r="E273" s="2" t="s">
        <v>22</v>
      </c>
      <c r="F273" s="2" t="s">
        <v>21</v>
      </c>
      <c r="G273" s="2"/>
      <c r="H273" s="4"/>
    </row>
    <row r="274" customFormat="false" ht="23.85" hidden="false" customHeight="false" outlineLevel="0" collapsed="false">
      <c r="A274" s="2" t="n">
        <v>273</v>
      </c>
      <c r="B274" s="2" t="s">
        <v>749</v>
      </c>
      <c r="C274" s="2" t="s">
        <v>750</v>
      </c>
      <c r="D274" s="2" t="s">
        <v>751</v>
      </c>
      <c r="E274" s="2" t="s">
        <v>20</v>
      </c>
      <c r="F274" s="2" t="s">
        <v>19</v>
      </c>
      <c r="G274" s="2"/>
      <c r="H274" s="4"/>
    </row>
    <row r="275" customFormat="false" ht="35.05" hidden="false" customHeight="false" outlineLevel="0" collapsed="false">
      <c r="A275" s="2" t="n">
        <v>274</v>
      </c>
      <c r="B275" s="2" t="s">
        <v>752</v>
      </c>
      <c r="C275" s="2" t="s">
        <v>753</v>
      </c>
      <c r="D275" s="2" t="s">
        <v>754</v>
      </c>
      <c r="E275" s="2" t="s">
        <v>18</v>
      </c>
      <c r="F275" s="2" t="s">
        <v>17</v>
      </c>
      <c r="G275" s="2"/>
      <c r="H275" s="4"/>
    </row>
    <row r="276" customFormat="false" ht="35.05" hidden="false" customHeight="false" outlineLevel="0" collapsed="false">
      <c r="A276" s="2" t="n">
        <v>275</v>
      </c>
      <c r="B276" s="2" t="s">
        <v>755</v>
      </c>
      <c r="C276" s="2" t="s">
        <v>243</v>
      </c>
      <c r="D276" s="2" t="s">
        <v>756</v>
      </c>
      <c r="E276" s="2" t="s">
        <v>20</v>
      </c>
      <c r="F276" s="2" t="s">
        <v>19</v>
      </c>
      <c r="G276" s="2"/>
      <c r="H276" s="4"/>
    </row>
    <row r="277" customFormat="false" ht="23.85" hidden="false" customHeight="false" outlineLevel="0" collapsed="false">
      <c r="A277" s="2" t="n">
        <v>276</v>
      </c>
      <c r="B277" s="2" t="s">
        <v>757</v>
      </c>
      <c r="C277" s="2" t="s">
        <v>758</v>
      </c>
      <c r="D277" s="2" t="s">
        <v>759</v>
      </c>
      <c r="E277" s="2" t="s">
        <v>22</v>
      </c>
      <c r="F277" s="2" t="s">
        <v>21</v>
      </c>
      <c r="G277" s="2"/>
      <c r="H277" s="4"/>
    </row>
    <row r="278" customFormat="false" ht="35.05" hidden="false" customHeight="false" outlineLevel="0" collapsed="false">
      <c r="A278" s="2" t="n">
        <v>277</v>
      </c>
      <c r="B278" s="2" t="s">
        <v>760</v>
      </c>
      <c r="C278" s="2" t="s">
        <v>243</v>
      </c>
      <c r="D278" s="2" t="s">
        <v>761</v>
      </c>
      <c r="E278" s="2" t="s">
        <v>20</v>
      </c>
      <c r="F278" s="2" t="s">
        <v>19</v>
      </c>
      <c r="G278" s="2"/>
      <c r="H278" s="4"/>
    </row>
    <row r="279" customFormat="false" ht="23.85" hidden="false" customHeight="false" outlineLevel="0" collapsed="false">
      <c r="A279" s="2" t="n">
        <v>278</v>
      </c>
      <c r="B279" s="2" t="s">
        <v>762</v>
      </c>
      <c r="C279" s="2" t="s">
        <v>763</v>
      </c>
      <c r="D279" s="2" t="s">
        <v>764</v>
      </c>
      <c r="E279" s="2" t="s">
        <v>16</v>
      </c>
      <c r="F279" s="2" t="s">
        <v>15</v>
      </c>
      <c r="G279" s="2"/>
      <c r="H279" s="4"/>
    </row>
    <row r="280" customFormat="false" ht="23.85" hidden="false" customHeight="false" outlineLevel="0" collapsed="false">
      <c r="A280" s="2" t="n">
        <v>279</v>
      </c>
      <c r="B280" s="2" t="s">
        <v>765</v>
      </c>
      <c r="C280" s="2" t="s">
        <v>243</v>
      </c>
      <c r="D280" s="2" t="s">
        <v>766</v>
      </c>
      <c r="E280" s="2" t="s">
        <v>20</v>
      </c>
      <c r="F280" s="2" t="s">
        <v>19</v>
      </c>
      <c r="G280" s="2"/>
      <c r="H280" s="4"/>
    </row>
    <row r="281" customFormat="false" ht="23.85" hidden="false" customHeight="false" outlineLevel="0" collapsed="false">
      <c r="A281" s="2" t="n">
        <v>280</v>
      </c>
      <c r="B281" s="2" t="s">
        <v>767</v>
      </c>
      <c r="C281" s="2" t="s">
        <v>88</v>
      </c>
      <c r="D281" s="2" t="s">
        <v>768</v>
      </c>
      <c r="E281" s="2" t="s">
        <v>16</v>
      </c>
      <c r="F281" s="2" t="s">
        <v>15</v>
      </c>
      <c r="G281" s="2"/>
      <c r="H281" s="4"/>
    </row>
    <row r="282" customFormat="false" ht="46.25" hidden="false" customHeight="false" outlineLevel="0" collapsed="false">
      <c r="A282" s="2" t="n">
        <v>281</v>
      </c>
      <c r="B282" s="2" t="s">
        <v>769</v>
      </c>
      <c r="C282" s="2" t="s">
        <v>770</v>
      </c>
      <c r="D282" s="2" t="s">
        <v>771</v>
      </c>
      <c r="E282" s="2" t="s">
        <v>20</v>
      </c>
      <c r="F282" s="2" t="s">
        <v>19</v>
      </c>
      <c r="G282" s="2"/>
      <c r="H282" s="4"/>
    </row>
    <row r="283" customFormat="false" ht="23.85" hidden="false" customHeight="false" outlineLevel="0" collapsed="false">
      <c r="A283" s="2" t="n">
        <v>282</v>
      </c>
      <c r="B283" s="2" t="s">
        <v>772</v>
      </c>
      <c r="C283" s="2" t="s">
        <v>773</v>
      </c>
      <c r="D283" s="2" t="s">
        <v>774</v>
      </c>
      <c r="E283" s="2" t="s">
        <v>22</v>
      </c>
      <c r="F283" s="2" t="s">
        <v>21</v>
      </c>
      <c r="G283" s="2"/>
      <c r="H283" s="4"/>
    </row>
    <row r="284" customFormat="false" ht="23.85" hidden="false" customHeight="false" outlineLevel="0" collapsed="false">
      <c r="A284" s="2" t="n">
        <v>283</v>
      </c>
      <c r="B284" s="2" t="s">
        <v>775</v>
      </c>
      <c r="C284" s="2" t="s">
        <v>697</v>
      </c>
      <c r="D284" s="2" t="s">
        <v>776</v>
      </c>
      <c r="E284" s="2" t="s">
        <v>20</v>
      </c>
      <c r="F284" s="2" t="s">
        <v>19</v>
      </c>
      <c r="G284" s="2"/>
      <c r="H284" s="4"/>
    </row>
    <row r="285" customFormat="false" ht="23.85" hidden="false" customHeight="false" outlineLevel="0" collapsed="false">
      <c r="A285" s="2" t="n">
        <v>284</v>
      </c>
      <c r="B285" s="2" t="s">
        <v>777</v>
      </c>
      <c r="C285" s="2" t="s">
        <v>778</v>
      </c>
      <c r="D285" s="2" t="s">
        <v>779</v>
      </c>
      <c r="E285" s="2" t="s">
        <v>22</v>
      </c>
      <c r="F285" s="2" t="s">
        <v>21</v>
      </c>
      <c r="G285" s="2"/>
      <c r="H285" s="4"/>
    </row>
    <row r="286" customFormat="false" ht="23.85" hidden="false" customHeight="false" outlineLevel="0" collapsed="false">
      <c r="A286" s="2" t="n">
        <v>285</v>
      </c>
      <c r="B286" s="2" t="s">
        <v>780</v>
      </c>
      <c r="C286" s="2" t="s">
        <v>139</v>
      </c>
      <c r="D286" s="2" t="s">
        <v>781</v>
      </c>
      <c r="E286" s="2" t="s">
        <v>16</v>
      </c>
      <c r="F286" s="2" t="s">
        <v>15</v>
      </c>
      <c r="G286" s="2"/>
      <c r="H286" s="4"/>
    </row>
    <row r="287" customFormat="false" ht="23.85" hidden="false" customHeight="false" outlineLevel="0" collapsed="false">
      <c r="A287" s="2" t="n">
        <v>286</v>
      </c>
      <c r="B287" s="2" t="s">
        <v>782</v>
      </c>
      <c r="C287" s="2" t="s">
        <v>783</v>
      </c>
      <c r="D287" s="2" t="s">
        <v>784</v>
      </c>
      <c r="E287" s="2" t="s">
        <v>16</v>
      </c>
      <c r="F287" s="2" t="s">
        <v>15</v>
      </c>
      <c r="G287" s="2"/>
      <c r="H287" s="4"/>
    </row>
    <row r="288" customFormat="false" ht="23.85" hidden="false" customHeight="false" outlineLevel="0" collapsed="false">
      <c r="A288" s="2" t="n">
        <v>287</v>
      </c>
      <c r="B288" s="2" t="s">
        <v>785</v>
      </c>
      <c r="C288" s="2" t="s">
        <v>712</v>
      </c>
      <c r="D288" s="2" t="s">
        <v>786</v>
      </c>
      <c r="E288" s="2" t="s">
        <v>20</v>
      </c>
      <c r="F288" s="2" t="s">
        <v>19</v>
      </c>
      <c r="G288" s="2"/>
      <c r="H288" s="4"/>
    </row>
    <row r="289" customFormat="false" ht="23.85" hidden="false" customHeight="false" outlineLevel="0" collapsed="false">
      <c r="A289" s="5" t="n">
        <v>288</v>
      </c>
      <c r="B289" s="5" t="s">
        <v>787</v>
      </c>
      <c r="C289" s="5" t="s">
        <v>243</v>
      </c>
      <c r="D289" s="5" t="s">
        <v>788</v>
      </c>
      <c r="E289" s="5" t="s">
        <v>14</v>
      </c>
      <c r="F289" s="5" t="s">
        <v>13</v>
      </c>
      <c r="G289" s="5"/>
      <c r="H289" s="4"/>
    </row>
    <row r="290" customFormat="false" ht="23.85" hidden="false" customHeight="false" outlineLevel="0" collapsed="false">
      <c r="A290" s="5" t="n">
        <v>289</v>
      </c>
      <c r="B290" s="5" t="s">
        <v>789</v>
      </c>
      <c r="C290" s="5" t="s">
        <v>790</v>
      </c>
      <c r="D290" s="5" t="s">
        <v>791</v>
      </c>
      <c r="E290" s="5" t="s">
        <v>14</v>
      </c>
      <c r="F290" s="5" t="s">
        <v>13</v>
      </c>
      <c r="G290" s="5"/>
      <c r="H290" s="4"/>
    </row>
    <row r="291" customFormat="false" ht="23.85" hidden="false" customHeight="false" outlineLevel="0" collapsed="false">
      <c r="A291" s="2" t="n">
        <v>290</v>
      </c>
      <c r="B291" s="2" t="s">
        <v>792</v>
      </c>
      <c r="C291" s="2" t="s">
        <v>793</v>
      </c>
      <c r="D291" s="2" t="s">
        <v>794</v>
      </c>
      <c r="E291" s="2" t="s">
        <v>22</v>
      </c>
      <c r="F291" s="2" t="s">
        <v>21</v>
      </c>
      <c r="G291" s="2"/>
      <c r="H291" s="4"/>
    </row>
    <row r="292" customFormat="false" ht="35.05" hidden="false" customHeight="false" outlineLevel="0" collapsed="false">
      <c r="A292" s="2" t="n">
        <v>291</v>
      </c>
      <c r="B292" s="2" t="s">
        <v>795</v>
      </c>
      <c r="C292" s="2" t="s">
        <v>796</v>
      </c>
      <c r="D292" s="2" t="s">
        <v>797</v>
      </c>
      <c r="E292" s="2" t="s">
        <v>18</v>
      </c>
      <c r="F292" s="2" t="s">
        <v>17</v>
      </c>
      <c r="G292" s="2"/>
      <c r="H292" s="4"/>
    </row>
    <row r="293" customFormat="false" ht="23.85" hidden="false" customHeight="false" outlineLevel="0" collapsed="false">
      <c r="A293" s="2" t="n">
        <v>292</v>
      </c>
      <c r="B293" s="2" t="s">
        <v>798</v>
      </c>
      <c r="C293" s="2" t="s">
        <v>799</v>
      </c>
      <c r="D293" s="2" t="s">
        <v>800</v>
      </c>
      <c r="E293" s="2" t="s">
        <v>22</v>
      </c>
      <c r="F293" s="2" t="s">
        <v>21</v>
      </c>
      <c r="G293" s="2"/>
      <c r="H293" s="4"/>
    </row>
    <row r="294" customFormat="false" ht="23.85" hidden="false" customHeight="false" outlineLevel="0" collapsed="false">
      <c r="A294" s="2" t="n">
        <v>293</v>
      </c>
      <c r="B294" s="2" t="s">
        <v>801</v>
      </c>
      <c r="C294" s="2" t="s">
        <v>802</v>
      </c>
      <c r="D294" s="2" t="s">
        <v>803</v>
      </c>
      <c r="E294" s="2" t="s">
        <v>18</v>
      </c>
      <c r="F294" s="2" t="s">
        <v>17</v>
      </c>
      <c r="G294" s="2"/>
      <c r="H294" s="4"/>
    </row>
    <row r="295" customFormat="false" ht="35.05" hidden="false" customHeight="false" outlineLevel="0" collapsed="false">
      <c r="A295" s="2" t="n">
        <v>294</v>
      </c>
      <c r="B295" s="2" t="s">
        <v>804</v>
      </c>
      <c r="C295" s="2" t="s">
        <v>805</v>
      </c>
      <c r="D295" s="2" t="s">
        <v>806</v>
      </c>
      <c r="E295" s="2" t="s">
        <v>24</v>
      </c>
      <c r="F295" s="2" t="s">
        <v>23</v>
      </c>
      <c r="G295" s="2"/>
      <c r="H295" s="4"/>
    </row>
    <row r="296" customFormat="false" ht="23.85" hidden="false" customHeight="false" outlineLevel="0" collapsed="false">
      <c r="A296" s="2" t="n">
        <v>295</v>
      </c>
      <c r="B296" s="2" t="s">
        <v>807</v>
      </c>
      <c r="C296" s="2" t="s">
        <v>783</v>
      </c>
      <c r="D296" s="2" t="s">
        <v>808</v>
      </c>
      <c r="E296" s="2" t="s">
        <v>18</v>
      </c>
      <c r="F296" s="2" t="s">
        <v>17</v>
      </c>
      <c r="G296" s="2"/>
      <c r="H296" s="4"/>
    </row>
    <row r="297" customFormat="false" ht="23.85" hidden="false" customHeight="false" outlineLevel="0" collapsed="false">
      <c r="A297" s="2" t="n">
        <v>296</v>
      </c>
      <c r="B297" s="2" t="s">
        <v>809</v>
      </c>
      <c r="C297" s="2" t="s">
        <v>307</v>
      </c>
      <c r="D297" s="2" t="s">
        <v>810</v>
      </c>
      <c r="E297" s="2" t="s">
        <v>22</v>
      </c>
      <c r="F297" s="2" t="s">
        <v>21</v>
      </c>
      <c r="G297" s="2"/>
      <c r="H297" s="4"/>
    </row>
    <row r="298" customFormat="false" ht="35.05" hidden="false" customHeight="false" outlineLevel="0" collapsed="false">
      <c r="A298" s="2" t="n">
        <v>297</v>
      </c>
      <c r="B298" s="2" t="s">
        <v>811</v>
      </c>
      <c r="C298" s="2" t="s">
        <v>85</v>
      </c>
      <c r="D298" s="2" t="s">
        <v>812</v>
      </c>
      <c r="E298" s="2" t="s">
        <v>22</v>
      </c>
      <c r="F298" s="2" t="s">
        <v>21</v>
      </c>
      <c r="G298" s="2"/>
      <c r="H298" s="4"/>
    </row>
    <row r="299" customFormat="false" ht="23.85" hidden="false" customHeight="false" outlineLevel="0" collapsed="false">
      <c r="A299" s="2" t="n">
        <v>298</v>
      </c>
      <c r="B299" s="2" t="s">
        <v>813</v>
      </c>
      <c r="C299" s="2" t="s">
        <v>814</v>
      </c>
      <c r="D299" s="2" t="s">
        <v>815</v>
      </c>
      <c r="E299" s="2" t="s">
        <v>18</v>
      </c>
      <c r="F299" s="2" t="s">
        <v>17</v>
      </c>
      <c r="G299" s="2"/>
      <c r="H299" s="4"/>
    </row>
    <row r="300" customFormat="false" ht="23.85" hidden="false" customHeight="false" outlineLevel="0" collapsed="false">
      <c r="A300" s="2" t="n">
        <v>299</v>
      </c>
      <c r="B300" s="2" t="s">
        <v>816</v>
      </c>
      <c r="C300" s="2" t="s">
        <v>82</v>
      </c>
      <c r="D300" s="2" t="s">
        <v>817</v>
      </c>
      <c r="E300" s="2" t="s">
        <v>22</v>
      </c>
      <c r="F300" s="2" t="s">
        <v>21</v>
      </c>
      <c r="G300" s="2"/>
      <c r="H300" s="4"/>
    </row>
    <row r="301" customFormat="false" ht="35.05" hidden="false" customHeight="false" outlineLevel="0" collapsed="false">
      <c r="A301" s="2" t="n">
        <v>300</v>
      </c>
      <c r="B301" s="2" t="s">
        <v>818</v>
      </c>
      <c r="C301" s="2" t="s">
        <v>819</v>
      </c>
      <c r="D301" s="2" t="s">
        <v>820</v>
      </c>
      <c r="E301" s="2" t="s">
        <v>22</v>
      </c>
      <c r="F301" s="2" t="s">
        <v>21</v>
      </c>
      <c r="G301" s="2" t="s">
        <v>821</v>
      </c>
      <c r="H301" s="4"/>
    </row>
    <row r="302" customFormat="false" ht="35.05" hidden="false" customHeight="false" outlineLevel="0" collapsed="false">
      <c r="A302" s="2" t="n">
        <v>301</v>
      </c>
      <c r="B302" s="2" t="s">
        <v>822</v>
      </c>
      <c r="C302" s="2" t="s">
        <v>823</v>
      </c>
      <c r="D302" s="2" t="s">
        <v>824</v>
      </c>
      <c r="E302" s="2" t="s">
        <v>22</v>
      </c>
      <c r="F302" s="2" t="s">
        <v>21</v>
      </c>
      <c r="G302" s="2"/>
      <c r="H302" s="4"/>
    </row>
    <row r="303" customFormat="false" ht="23.85" hidden="false" customHeight="false" outlineLevel="0" collapsed="false">
      <c r="A303" s="2" t="n">
        <v>302</v>
      </c>
      <c r="B303" s="2" t="s">
        <v>825</v>
      </c>
      <c r="C303" s="2" t="s">
        <v>826</v>
      </c>
      <c r="D303" s="2" t="s">
        <v>827</v>
      </c>
      <c r="E303" s="2" t="s">
        <v>22</v>
      </c>
      <c r="F303" s="2" t="s">
        <v>21</v>
      </c>
      <c r="G303" s="2"/>
      <c r="H303" s="4"/>
    </row>
    <row r="304" customFormat="false" ht="23.85" hidden="false" customHeight="false" outlineLevel="0" collapsed="false">
      <c r="A304" s="2" t="n">
        <v>303</v>
      </c>
      <c r="B304" s="2" t="s">
        <v>828</v>
      </c>
      <c r="C304" s="2" t="s">
        <v>330</v>
      </c>
      <c r="D304" s="2" t="s">
        <v>829</v>
      </c>
      <c r="E304" s="2" t="s">
        <v>18</v>
      </c>
      <c r="F304" s="2" t="s">
        <v>17</v>
      </c>
      <c r="G304" s="2"/>
      <c r="H304" s="4"/>
    </row>
    <row r="305" customFormat="false" ht="35.05" hidden="false" customHeight="false" outlineLevel="0" collapsed="false">
      <c r="A305" s="2" t="n">
        <v>304</v>
      </c>
      <c r="B305" s="2" t="s">
        <v>830</v>
      </c>
      <c r="C305" s="2" t="s">
        <v>394</v>
      </c>
      <c r="D305" s="2" t="s">
        <v>831</v>
      </c>
      <c r="E305" s="2" t="s">
        <v>22</v>
      </c>
      <c r="F305" s="2" t="s">
        <v>21</v>
      </c>
      <c r="G305" s="2"/>
      <c r="H305" s="4"/>
    </row>
    <row r="306" customFormat="false" ht="23.85" hidden="false" customHeight="false" outlineLevel="0" collapsed="false">
      <c r="A306" s="2" t="n">
        <v>305</v>
      </c>
      <c r="B306" s="2" t="s">
        <v>832</v>
      </c>
      <c r="C306" s="2" t="s">
        <v>833</v>
      </c>
      <c r="D306" s="2" t="s">
        <v>834</v>
      </c>
      <c r="E306" s="2" t="s">
        <v>20</v>
      </c>
      <c r="F306" s="2" t="s">
        <v>19</v>
      </c>
      <c r="G306" s="2"/>
      <c r="H306" s="4"/>
    </row>
    <row r="307" customFormat="false" ht="23.85" hidden="false" customHeight="false" outlineLevel="0" collapsed="false">
      <c r="A307" s="2" t="n">
        <v>306</v>
      </c>
      <c r="B307" s="2" t="s">
        <v>835</v>
      </c>
      <c r="C307" s="2" t="s">
        <v>737</v>
      </c>
      <c r="D307" s="2" t="s">
        <v>836</v>
      </c>
      <c r="E307" s="2" t="s">
        <v>22</v>
      </c>
      <c r="F307" s="2" t="s">
        <v>21</v>
      </c>
      <c r="G307" s="2"/>
      <c r="H307" s="4"/>
    </row>
    <row r="308" customFormat="false" ht="23.85" hidden="false" customHeight="false" outlineLevel="0" collapsed="false">
      <c r="A308" s="2" t="n">
        <v>307</v>
      </c>
      <c r="B308" s="2" t="s">
        <v>837</v>
      </c>
      <c r="C308" s="2" t="s">
        <v>243</v>
      </c>
      <c r="D308" s="2" t="s">
        <v>838</v>
      </c>
      <c r="E308" s="2" t="s">
        <v>20</v>
      </c>
      <c r="F308" s="2" t="s">
        <v>19</v>
      </c>
      <c r="G308" s="2"/>
      <c r="H308" s="4"/>
    </row>
    <row r="309" customFormat="false" ht="35.05" hidden="false" customHeight="false" outlineLevel="0" collapsed="false">
      <c r="A309" s="2" t="n">
        <v>308</v>
      </c>
      <c r="B309" s="2" t="s">
        <v>839</v>
      </c>
      <c r="C309" s="2" t="s">
        <v>243</v>
      </c>
      <c r="D309" s="2" t="s">
        <v>840</v>
      </c>
      <c r="E309" s="2" t="s">
        <v>20</v>
      </c>
      <c r="F309" s="2" t="s">
        <v>19</v>
      </c>
      <c r="G309" s="2"/>
      <c r="H309" s="4"/>
    </row>
    <row r="310" customFormat="false" ht="23.85" hidden="false" customHeight="false" outlineLevel="0" collapsed="false">
      <c r="A310" s="2" t="n">
        <v>309</v>
      </c>
      <c r="B310" s="2" t="s">
        <v>841</v>
      </c>
      <c r="C310" s="2" t="s">
        <v>842</v>
      </c>
      <c r="D310" s="2" t="s">
        <v>843</v>
      </c>
      <c r="E310" s="2" t="s">
        <v>18</v>
      </c>
      <c r="F310" s="2" t="s">
        <v>17</v>
      </c>
      <c r="G310" s="2"/>
      <c r="H310" s="4"/>
    </row>
    <row r="311" customFormat="false" ht="35.05" hidden="false" customHeight="false" outlineLevel="0" collapsed="false">
      <c r="A311" s="2" t="n">
        <v>310</v>
      </c>
      <c r="B311" s="2" t="s">
        <v>844</v>
      </c>
      <c r="C311" s="2" t="s">
        <v>629</v>
      </c>
      <c r="D311" s="2" t="s">
        <v>845</v>
      </c>
      <c r="E311" s="2" t="s">
        <v>22</v>
      </c>
      <c r="F311" s="2" t="s">
        <v>21</v>
      </c>
      <c r="G311" s="2"/>
      <c r="H311" s="4"/>
    </row>
    <row r="312" customFormat="false" ht="23.85" hidden="false" customHeight="false" outlineLevel="0" collapsed="false">
      <c r="A312" s="2" t="n">
        <v>311</v>
      </c>
      <c r="B312" s="2" t="s">
        <v>846</v>
      </c>
      <c r="C312" s="2" t="s">
        <v>847</v>
      </c>
      <c r="D312" s="2" t="s">
        <v>848</v>
      </c>
      <c r="E312" s="2" t="s">
        <v>16</v>
      </c>
      <c r="F312" s="2" t="s">
        <v>15</v>
      </c>
      <c r="G312" s="2"/>
      <c r="H312" s="4"/>
    </row>
  </sheetData>
  <autoFilter ref="A1:H3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0"/>
    <col collapsed="false" customWidth="true" hidden="false" outlineLevel="0" max="3" min="3" style="0" width="55"/>
  </cols>
  <sheetData>
    <row r="1" customFormat="false" ht="15" hidden="false" customHeight="false" outlineLevel="0" collapsed="false">
      <c r="A1" s="6" t="s">
        <v>849</v>
      </c>
      <c r="B1" s="6" t="s">
        <v>850</v>
      </c>
      <c r="C1" s="6" t="s">
        <v>851</v>
      </c>
    </row>
    <row r="2" customFormat="false" ht="15" hidden="false" customHeight="false" outlineLevel="0" collapsed="false">
      <c r="A2" s="7" t="s">
        <v>852</v>
      </c>
      <c r="B2" s="8" t="n">
        <v>311</v>
      </c>
      <c r="C2" s="7" t="s">
        <v>853</v>
      </c>
    </row>
    <row r="3" customFormat="false" ht="15" hidden="false" customHeight="false" outlineLevel="0" collapsed="false">
      <c r="A3" s="7" t="s">
        <v>854</v>
      </c>
      <c r="B3" s="8" t="n">
        <v>0</v>
      </c>
      <c r="C3" s="7" t="s">
        <v>855</v>
      </c>
    </row>
    <row r="4" customFormat="false" ht="15" hidden="false" customHeight="false" outlineLevel="0" collapsed="false">
      <c r="A4" s="7" t="s">
        <v>856</v>
      </c>
      <c r="B4" s="7" t="n">
        <f aca="false">COUNTA('Screening log'!B2:B312)</f>
        <v>311</v>
      </c>
      <c r="C4" s="7" t="s">
        <v>857</v>
      </c>
    </row>
    <row r="5" customFormat="false" ht="15" hidden="false" customHeight="false" outlineLevel="0" collapsed="false">
      <c r="A5" s="7" t="s">
        <v>858</v>
      </c>
      <c r="B5" s="7" t="n">
        <f aca="false">COUNTIF('Screening log'!F2:F312,"X1")</f>
        <v>45</v>
      </c>
      <c r="C5" s="7" t="s">
        <v>859</v>
      </c>
    </row>
    <row r="6" customFormat="false" ht="15" hidden="false" customHeight="false" outlineLevel="0" collapsed="false">
      <c r="A6" s="7" t="s">
        <v>860</v>
      </c>
      <c r="B6" s="7" t="n">
        <f aca="false">COUNTIF('Screening log'!F2:F312,"X2")</f>
        <v>73</v>
      </c>
      <c r="C6" s="7" t="s">
        <v>861</v>
      </c>
    </row>
    <row r="7" customFormat="false" ht="15" hidden="false" customHeight="false" outlineLevel="0" collapsed="false">
      <c r="A7" s="7" t="s">
        <v>862</v>
      </c>
      <c r="B7" s="7" t="n">
        <f aca="false">COUNTIF('Screening log'!F2:F312,"X3")</f>
        <v>93</v>
      </c>
      <c r="C7" s="7" t="s">
        <v>863</v>
      </c>
    </row>
    <row r="8" customFormat="false" ht="15" hidden="false" customHeight="false" outlineLevel="0" collapsed="false">
      <c r="A8" s="7" t="s">
        <v>864</v>
      </c>
      <c r="B8" s="7" t="n">
        <f aca="false">COUNTIF('Screening log'!F2:F312,"X4")</f>
        <v>38</v>
      </c>
      <c r="C8" s="7" t="s">
        <v>865</v>
      </c>
    </row>
    <row r="9" customFormat="false" ht="15" hidden="false" customHeight="false" outlineLevel="0" collapsed="false">
      <c r="A9" s="7" t="s">
        <v>866</v>
      </c>
      <c r="B9" s="7" t="n">
        <f aca="false">COUNTIF('Screening log'!F2:F312,"X5")</f>
        <v>21</v>
      </c>
      <c r="C9" s="7" t="s">
        <v>867</v>
      </c>
    </row>
    <row r="10" customFormat="false" ht="15" hidden="false" customHeight="false" outlineLevel="0" collapsed="false">
      <c r="A10" s="7" t="s">
        <v>868</v>
      </c>
      <c r="B10" s="7" t="n">
        <f aca="false">SUM(B5:B9)</f>
        <v>270</v>
      </c>
      <c r="C10" s="7" t="s">
        <v>869</v>
      </c>
    </row>
    <row r="11" customFormat="false" ht="15" hidden="false" customHeight="false" outlineLevel="0" collapsed="false">
      <c r="A11" s="7" t="s">
        <v>870</v>
      </c>
      <c r="B11" s="7" t="n">
        <f aca="false">COUNTIF('Screening log'!F2:F312,"FT")</f>
        <v>41</v>
      </c>
      <c r="C11" s="7" t="s">
        <v>871</v>
      </c>
    </row>
    <row r="12" customFormat="false" ht="15" hidden="false" customHeight="false" outlineLevel="0" collapsed="false">
      <c r="A12" s="7" t="s">
        <v>872</v>
      </c>
      <c r="B12" s="7" t="str">
        <f aca="false">IF(B4-B10=B11,"OK","MISMATCH")</f>
        <v>OK</v>
      </c>
      <c r="C12" s="7" t="s">
        <v>873</v>
      </c>
    </row>
    <row r="14" customFormat="false" ht="15" hidden="false" customHeight="false" outlineLevel="0" collapsed="false">
      <c r="A14" s="0" t="s">
        <v>874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22"/>
    <col collapsed="false" customWidth="true" hidden="false" outlineLevel="0" max="4" min="4" style="0" width="70"/>
    <col collapsed="false" customWidth="true" hidden="false" outlineLevel="0" max="5" min="5" style="0" width="34"/>
    <col collapsed="false" customWidth="true" hidden="false" outlineLevel="0" max="6" min="6" style="0" width="24"/>
    <col collapsed="false" customWidth="true" hidden="false" outlineLevel="0" max="7" min="7" style="0" width="40"/>
  </cols>
  <sheetData>
    <row r="1" customFormat="false" ht="26.85" hidden="false" customHeight="false" outlineLevel="0" collapsed="false">
      <c r="A1" s="9" t="s">
        <v>25</v>
      </c>
      <c r="B1" s="9" t="s">
        <v>26</v>
      </c>
      <c r="C1" s="9" t="s">
        <v>27</v>
      </c>
      <c r="D1" s="9" t="s">
        <v>28</v>
      </c>
      <c r="E1" s="9" t="s">
        <v>31</v>
      </c>
      <c r="F1" s="9" t="s">
        <v>875</v>
      </c>
      <c r="G1" s="9" t="s">
        <v>876</v>
      </c>
    </row>
    <row r="2" customFormat="false" ht="23.85" hidden="false" customHeight="false" outlineLevel="0" collapsed="false">
      <c r="A2" s="2" t="n">
        <v>12</v>
      </c>
      <c r="B2" s="2" t="s">
        <v>66</v>
      </c>
      <c r="C2" s="2" t="s">
        <v>67</v>
      </c>
      <c r="D2" s="2" t="s">
        <v>68</v>
      </c>
      <c r="E2" s="2"/>
      <c r="F2" s="2"/>
      <c r="G2" s="2"/>
    </row>
    <row r="3" customFormat="false" ht="15" hidden="false" customHeight="false" outlineLevel="0" collapsed="false">
      <c r="A3" s="2" t="n">
        <v>13</v>
      </c>
      <c r="B3" s="2" t="s">
        <v>69</v>
      </c>
      <c r="C3" s="2" t="s">
        <v>70</v>
      </c>
      <c r="D3" s="2" t="s">
        <v>71</v>
      </c>
      <c r="E3" s="2" t="s">
        <v>72</v>
      </c>
      <c r="F3" s="2"/>
      <c r="G3" s="2"/>
    </row>
    <row r="4" customFormat="false" ht="23.85" hidden="false" customHeight="false" outlineLevel="0" collapsed="false">
      <c r="A4" s="2" t="n">
        <v>24</v>
      </c>
      <c r="B4" s="2" t="s">
        <v>101</v>
      </c>
      <c r="C4" s="2" t="s">
        <v>102</v>
      </c>
      <c r="D4" s="2" t="s">
        <v>103</v>
      </c>
      <c r="E4" s="2"/>
      <c r="F4" s="2"/>
      <c r="G4" s="2"/>
    </row>
    <row r="5" customFormat="false" ht="23.85" hidden="false" customHeight="false" outlineLevel="0" collapsed="false">
      <c r="A5" s="2" t="n">
        <v>30</v>
      </c>
      <c r="B5" s="2" t="s">
        <v>118</v>
      </c>
      <c r="C5" s="2" t="s">
        <v>119</v>
      </c>
      <c r="D5" s="2" t="s">
        <v>120</v>
      </c>
      <c r="E5" s="2"/>
      <c r="F5" s="2"/>
      <c r="G5" s="2"/>
    </row>
    <row r="6" customFormat="false" ht="23.85" hidden="false" customHeight="false" outlineLevel="0" collapsed="false">
      <c r="A6" s="2" t="n">
        <v>35</v>
      </c>
      <c r="B6" s="2" t="s">
        <v>133</v>
      </c>
      <c r="C6" s="2" t="s">
        <v>134</v>
      </c>
      <c r="D6" s="2" t="s">
        <v>135</v>
      </c>
      <c r="E6" s="2"/>
      <c r="F6" s="2"/>
      <c r="G6" s="2"/>
    </row>
    <row r="7" customFormat="false" ht="23.85" hidden="false" customHeight="false" outlineLevel="0" collapsed="false">
      <c r="A7" s="2" t="n">
        <v>49</v>
      </c>
      <c r="B7" s="2" t="s">
        <v>170</v>
      </c>
      <c r="C7" s="2" t="s">
        <v>171</v>
      </c>
      <c r="D7" s="2" t="s">
        <v>172</v>
      </c>
      <c r="E7" s="2"/>
      <c r="F7" s="2"/>
      <c r="G7" s="2"/>
    </row>
    <row r="8" customFormat="false" ht="35.05" hidden="false" customHeight="false" outlineLevel="0" collapsed="false">
      <c r="A8" s="2" t="n">
        <v>52</v>
      </c>
      <c r="B8" s="2" t="s">
        <v>178</v>
      </c>
      <c r="C8" s="2" t="s">
        <v>179</v>
      </c>
      <c r="D8" s="2" t="s">
        <v>180</v>
      </c>
      <c r="E8" s="2"/>
      <c r="F8" s="2"/>
      <c r="G8" s="2"/>
    </row>
    <row r="9" customFormat="false" ht="23.85" hidden="false" customHeight="false" outlineLevel="0" collapsed="false">
      <c r="A9" s="2" t="n">
        <v>58</v>
      </c>
      <c r="B9" s="2" t="s">
        <v>195</v>
      </c>
      <c r="C9" s="2" t="s">
        <v>196</v>
      </c>
      <c r="D9" s="2" t="s">
        <v>197</v>
      </c>
      <c r="E9" s="2"/>
      <c r="F9" s="2"/>
      <c r="G9" s="2"/>
    </row>
    <row r="10" customFormat="false" ht="23.85" hidden="false" customHeight="false" outlineLevel="0" collapsed="false">
      <c r="A10" s="2" t="n">
        <v>62</v>
      </c>
      <c r="B10" s="2" t="s">
        <v>206</v>
      </c>
      <c r="C10" s="2" t="s">
        <v>67</v>
      </c>
      <c r="D10" s="2" t="s">
        <v>207</v>
      </c>
      <c r="E10" s="2"/>
      <c r="F10" s="2"/>
      <c r="G10" s="2"/>
    </row>
    <row r="11" customFormat="false" ht="23.85" hidden="false" customHeight="false" outlineLevel="0" collapsed="false">
      <c r="A11" s="2" t="n">
        <v>65</v>
      </c>
      <c r="B11" s="2" t="s">
        <v>213</v>
      </c>
      <c r="C11" s="2" t="s">
        <v>46</v>
      </c>
      <c r="D11" s="2" t="s">
        <v>214</v>
      </c>
      <c r="E11" s="2"/>
      <c r="F11" s="2"/>
      <c r="G11" s="2"/>
    </row>
    <row r="12" customFormat="false" ht="35.05" hidden="false" customHeight="false" outlineLevel="0" collapsed="false">
      <c r="A12" s="2" t="n">
        <v>68</v>
      </c>
      <c r="B12" s="2" t="s">
        <v>220</v>
      </c>
      <c r="C12" s="2" t="s">
        <v>221</v>
      </c>
      <c r="D12" s="2" t="s">
        <v>222</v>
      </c>
      <c r="E12" s="2"/>
      <c r="F12" s="2"/>
      <c r="G12" s="2"/>
    </row>
    <row r="13" customFormat="false" ht="35.05" hidden="false" customHeight="false" outlineLevel="0" collapsed="false">
      <c r="A13" s="2" t="n">
        <v>87</v>
      </c>
      <c r="B13" s="2" t="s">
        <v>272</v>
      </c>
      <c r="C13" s="2" t="s">
        <v>273</v>
      </c>
      <c r="D13" s="2" t="s">
        <v>274</v>
      </c>
      <c r="E13" s="2"/>
      <c r="F13" s="2"/>
      <c r="G13" s="2"/>
    </row>
    <row r="14" customFormat="false" ht="23.85" hidden="false" customHeight="false" outlineLevel="0" collapsed="false">
      <c r="A14" s="2" t="n">
        <v>94</v>
      </c>
      <c r="B14" s="2" t="s">
        <v>289</v>
      </c>
      <c r="C14" s="2" t="s">
        <v>290</v>
      </c>
      <c r="D14" s="2" t="s">
        <v>291</v>
      </c>
      <c r="E14" s="2"/>
      <c r="F14" s="2"/>
      <c r="G14" s="2"/>
    </row>
    <row r="15" customFormat="false" ht="35.05" hidden="false" customHeight="false" outlineLevel="0" collapsed="false">
      <c r="A15" s="2" t="n">
        <v>96</v>
      </c>
      <c r="B15" s="2" t="s">
        <v>295</v>
      </c>
      <c r="C15" s="2" t="s">
        <v>296</v>
      </c>
      <c r="D15" s="2" t="s">
        <v>297</v>
      </c>
      <c r="E15" s="2"/>
      <c r="F15" s="2"/>
      <c r="G15" s="2"/>
    </row>
    <row r="16" customFormat="false" ht="23.85" hidden="false" customHeight="false" outlineLevel="0" collapsed="false">
      <c r="A16" s="2" t="n">
        <v>98</v>
      </c>
      <c r="B16" s="2" t="s">
        <v>300</v>
      </c>
      <c r="C16" s="2" t="s">
        <v>46</v>
      </c>
      <c r="D16" s="2" t="s">
        <v>301</v>
      </c>
      <c r="E16" s="2" t="s">
        <v>302</v>
      </c>
      <c r="F16" s="2"/>
      <c r="G16" s="2"/>
    </row>
    <row r="17" customFormat="false" ht="35.05" hidden="false" customHeight="false" outlineLevel="0" collapsed="false">
      <c r="A17" s="2" t="n">
        <v>101</v>
      </c>
      <c r="B17" s="2" t="s">
        <v>309</v>
      </c>
      <c r="C17" s="2" t="s">
        <v>310</v>
      </c>
      <c r="D17" s="2" t="s">
        <v>311</v>
      </c>
      <c r="E17" s="2"/>
      <c r="F17" s="2"/>
      <c r="G17" s="2"/>
    </row>
    <row r="18" customFormat="false" ht="23.85" hidden="false" customHeight="false" outlineLevel="0" collapsed="false">
      <c r="A18" s="2" t="n">
        <v>102</v>
      </c>
      <c r="B18" s="2" t="s">
        <v>312</v>
      </c>
      <c r="C18" s="2" t="s">
        <v>171</v>
      </c>
      <c r="D18" s="2" t="s">
        <v>313</v>
      </c>
      <c r="E18" s="2"/>
      <c r="F18" s="2"/>
      <c r="G18" s="2"/>
    </row>
    <row r="19" customFormat="false" ht="23.85" hidden="false" customHeight="false" outlineLevel="0" collapsed="false">
      <c r="A19" s="2" t="n">
        <v>105</v>
      </c>
      <c r="B19" s="2" t="s">
        <v>320</v>
      </c>
      <c r="C19" s="2" t="s">
        <v>218</v>
      </c>
      <c r="D19" s="2" t="s">
        <v>321</v>
      </c>
      <c r="E19" s="2"/>
      <c r="F19" s="2"/>
      <c r="G19" s="2"/>
    </row>
    <row r="20" customFormat="false" ht="23.85" hidden="false" customHeight="false" outlineLevel="0" collapsed="false">
      <c r="A20" s="2" t="n">
        <v>112</v>
      </c>
      <c r="B20" s="2" t="s">
        <v>337</v>
      </c>
      <c r="C20" s="2" t="s">
        <v>338</v>
      </c>
      <c r="D20" s="2" t="s">
        <v>339</v>
      </c>
      <c r="E20" s="2"/>
      <c r="F20" s="2"/>
      <c r="G20" s="2"/>
    </row>
    <row r="21" customFormat="false" ht="35.05" hidden="false" customHeight="false" outlineLevel="0" collapsed="false">
      <c r="A21" s="2" t="n">
        <v>118</v>
      </c>
      <c r="B21" s="2" t="s">
        <v>352</v>
      </c>
      <c r="C21" s="2" t="s">
        <v>353</v>
      </c>
      <c r="D21" s="2" t="s">
        <v>354</v>
      </c>
      <c r="E21" s="2" t="s">
        <v>355</v>
      </c>
      <c r="F21" s="2"/>
      <c r="G21" s="2"/>
    </row>
    <row r="22" customFormat="false" ht="46.25" hidden="false" customHeight="false" outlineLevel="0" collapsed="false">
      <c r="A22" s="2" t="n">
        <v>121</v>
      </c>
      <c r="B22" s="2" t="s">
        <v>361</v>
      </c>
      <c r="C22" s="2" t="s">
        <v>296</v>
      </c>
      <c r="D22" s="2" t="s">
        <v>362</v>
      </c>
      <c r="E22" s="2" t="s">
        <v>363</v>
      </c>
      <c r="F22" s="2"/>
      <c r="G22" s="2"/>
    </row>
    <row r="23" customFormat="false" ht="35.05" hidden="false" customHeight="false" outlineLevel="0" collapsed="false">
      <c r="A23" s="2" t="n">
        <v>147</v>
      </c>
      <c r="B23" s="2" t="s">
        <v>428</v>
      </c>
      <c r="C23" s="2" t="s">
        <v>429</v>
      </c>
      <c r="D23" s="2" t="s">
        <v>430</v>
      </c>
      <c r="E23" s="2" t="s">
        <v>431</v>
      </c>
      <c r="F23" s="2"/>
      <c r="G23" s="2"/>
    </row>
    <row r="24" customFormat="false" ht="23.85" hidden="false" customHeight="false" outlineLevel="0" collapsed="false">
      <c r="A24" s="2" t="n">
        <v>148</v>
      </c>
      <c r="B24" s="2" t="s">
        <v>432</v>
      </c>
      <c r="C24" s="2" t="s">
        <v>433</v>
      </c>
      <c r="D24" s="2" t="s">
        <v>434</v>
      </c>
      <c r="E24" s="2"/>
      <c r="F24" s="2"/>
      <c r="G24" s="2"/>
    </row>
    <row r="25" customFormat="false" ht="35.05" hidden="false" customHeight="false" outlineLevel="0" collapsed="false">
      <c r="A25" s="2" t="n">
        <v>153</v>
      </c>
      <c r="B25" s="2" t="s">
        <v>447</v>
      </c>
      <c r="C25" s="2" t="s">
        <v>125</v>
      </c>
      <c r="D25" s="2" t="s">
        <v>448</v>
      </c>
      <c r="E25" s="2"/>
      <c r="F25" s="2"/>
      <c r="G25" s="2"/>
    </row>
    <row r="26" customFormat="false" ht="35.05" hidden="false" customHeight="false" outlineLevel="0" collapsed="false">
      <c r="A26" s="2" t="n">
        <v>164</v>
      </c>
      <c r="B26" s="2" t="s">
        <v>473</v>
      </c>
      <c r="C26" s="2" t="s">
        <v>119</v>
      </c>
      <c r="D26" s="2" t="s">
        <v>474</v>
      </c>
      <c r="E26" s="2"/>
      <c r="F26" s="2"/>
      <c r="G26" s="2"/>
    </row>
    <row r="27" customFormat="false" ht="35.05" hidden="false" customHeight="false" outlineLevel="0" collapsed="false">
      <c r="A27" s="2" t="n">
        <v>167</v>
      </c>
      <c r="B27" s="2" t="s">
        <v>480</v>
      </c>
      <c r="C27" s="2" t="s">
        <v>408</v>
      </c>
      <c r="D27" s="2" t="s">
        <v>481</v>
      </c>
      <c r="E27" s="2"/>
      <c r="F27" s="2"/>
      <c r="G27" s="2"/>
    </row>
    <row r="28" customFormat="false" ht="23.85" hidden="false" customHeight="false" outlineLevel="0" collapsed="false">
      <c r="A28" s="2" t="n">
        <v>171</v>
      </c>
      <c r="B28" s="2" t="s">
        <v>490</v>
      </c>
      <c r="C28" s="2" t="s">
        <v>491</v>
      </c>
      <c r="D28" s="2" t="s">
        <v>492</v>
      </c>
      <c r="E28" s="2"/>
      <c r="F28" s="2"/>
      <c r="G28" s="2"/>
    </row>
    <row r="29" customFormat="false" ht="23.85" hidden="false" customHeight="false" outlineLevel="0" collapsed="false">
      <c r="A29" s="2" t="n">
        <v>176</v>
      </c>
      <c r="B29" s="2" t="s">
        <v>502</v>
      </c>
      <c r="C29" s="2" t="s">
        <v>503</v>
      </c>
      <c r="D29" s="2" t="s">
        <v>504</v>
      </c>
      <c r="E29" s="2"/>
      <c r="F29" s="2"/>
      <c r="G29" s="2"/>
    </row>
    <row r="30" customFormat="false" ht="23.85" hidden="false" customHeight="false" outlineLevel="0" collapsed="false">
      <c r="A30" s="2" t="n">
        <v>188</v>
      </c>
      <c r="B30" s="2" t="s">
        <v>530</v>
      </c>
      <c r="C30" s="2" t="s">
        <v>455</v>
      </c>
      <c r="D30" s="2" t="s">
        <v>531</v>
      </c>
      <c r="E30" s="2" t="s">
        <v>532</v>
      </c>
      <c r="F30" s="2"/>
      <c r="G30" s="2"/>
    </row>
    <row r="31" customFormat="false" ht="35.05" hidden="false" customHeight="false" outlineLevel="0" collapsed="false">
      <c r="A31" s="2" t="n">
        <v>190</v>
      </c>
      <c r="B31" s="2" t="s">
        <v>535</v>
      </c>
      <c r="C31" s="2" t="s">
        <v>536</v>
      </c>
      <c r="D31" s="2" t="s">
        <v>537</v>
      </c>
      <c r="E31" s="2"/>
      <c r="F31" s="2"/>
      <c r="G31" s="2"/>
    </row>
    <row r="32" customFormat="false" ht="23.85" hidden="false" customHeight="false" outlineLevel="0" collapsed="false">
      <c r="A32" s="2" t="n">
        <v>194</v>
      </c>
      <c r="B32" s="2" t="s">
        <v>546</v>
      </c>
      <c r="C32" s="2" t="s">
        <v>547</v>
      </c>
      <c r="D32" s="2" t="s">
        <v>548</v>
      </c>
      <c r="E32" s="2"/>
      <c r="F32" s="2"/>
      <c r="G32" s="2"/>
    </row>
    <row r="33" customFormat="false" ht="35.05" hidden="false" customHeight="false" outlineLevel="0" collapsed="false">
      <c r="A33" s="2" t="n">
        <v>203</v>
      </c>
      <c r="B33" s="2" t="s">
        <v>570</v>
      </c>
      <c r="C33" s="2" t="s">
        <v>571</v>
      </c>
      <c r="D33" s="2" t="s">
        <v>572</v>
      </c>
      <c r="E33" s="2"/>
      <c r="F33" s="2"/>
      <c r="G33" s="2"/>
    </row>
    <row r="34" customFormat="false" ht="23.85" hidden="false" customHeight="false" outlineLevel="0" collapsed="false">
      <c r="A34" s="2" t="n">
        <v>211</v>
      </c>
      <c r="B34" s="2" t="s">
        <v>590</v>
      </c>
      <c r="C34" s="2" t="s">
        <v>591</v>
      </c>
      <c r="D34" s="2" t="s">
        <v>592</v>
      </c>
      <c r="E34" s="2"/>
      <c r="F34" s="2"/>
      <c r="G34" s="2"/>
    </row>
    <row r="35" customFormat="false" ht="23.85" hidden="false" customHeight="false" outlineLevel="0" collapsed="false">
      <c r="A35" s="2" t="n">
        <v>214</v>
      </c>
      <c r="B35" s="2" t="s">
        <v>598</v>
      </c>
      <c r="C35" s="2" t="s">
        <v>599</v>
      </c>
      <c r="D35" s="2" t="s">
        <v>600</v>
      </c>
      <c r="E35" s="2"/>
      <c r="F35" s="2"/>
      <c r="G35" s="2"/>
    </row>
    <row r="36" customFormat="false" ht="35.05" hidden="false" customHeight="false" outlineLevel="0" collapsed="false">
      <c r="A36" s="2" t="n">
        <v>220</v>
      </c>
      <c r="B36" s="2" t="s">
        <v>614</v>
      </c>
      <c r="C36" s="2" t="s">
        <v>142</v>
      </c>
      <c r="D36" s="2" t="s">
        <v>615</v>
      </c>
      <c r="E36" s="2"/>
      <c r="F36" s="2"/>
      <c r="G36" s="2"/>
    </row>
    <row r="37" customFormat="false" ht="23.85" hidden="false" customHeight="false" outlineLevel="0" collapsed="false">
      <c r="A37" s="2" t="n">
        <v>222</v>
      </c>
      <c r="B37" s="2" t="s">
        <v>618</v>
      </c>
      <c r="C37" s="2" t="s">
        <v>520</v>
      </c>
      <c r="D37" s="2" t="s">
        <v>619</v>
      </c>
      <c r="E37" s="2"/>
      <c r="F37" s="2"/>
      <c r="G37" s="2"/>
    </row>
    <row r="38" customFormat="false" ht="23.85" hidden="false" customHeight="false" outlineLevel="0" collapsed="false">
      <c r="A38" s="2" t="n">
        <v>247</v>
      </c>
      <c r="B38" s="2" t="s">
        <v>681</v>
      </c>
      <c r="C38" s="2" t="s">
        <v>609</v>
      </c>
      <c r="D38" s="2" t="s">
        <v>682</v>
      </c>
      <c r="E38" s="2"/>
      <c r="F38" s="2"/>
      <c r="G38" s="2"/>
    </row>
    <row r="39" customFormat="false" ht="35.05" hidden="false" customHeight="false" outlineLevel="0" collapsed="false">
      <c r="A39" s="2" t="n">
        <v>259</v>
      </c>
      <c r="B39" s="2" t="s">
        <v>714</v>
      </c>
      <c r="C39" s="2" t="s">
        <v>715</v>
      </c>
      <c r="D39" s="2" t="s">
        <v>716</v>
      </c>
      <c r="E39" s="2"/>
      <c r="F39" s="2"/>
      <c r="G39" s="2"/>
    </row>
    <row r="40" customFormat="false" ht="35.05" hidden="false" customHeight="false" outlineLevel="0" collapsed="false">
      <c r="A40" s="2" t="n">
        <v>265</v>
      </c>
      <c r="B40" s="2" t="s">
        <v>728</v>
      </c>
      <c r="C40" s="2" t="s">
        <v>193</v>
      </c>
      <c r="D40" s="2" t="s">
        <v>729</v>
      </c>
      <c r="E40" s="2"/>
      <c r="F40" s="2"/>
      <c r="G40" s="2"/>
    </row>
    <row r="41" customFormat="false" ht="23.85" hidden="false" customHeight="false" outlineLevel="0" collapsed="false">
      <c r="A41" s="2" t="n">
        <v>288</v>
      </c>
      <c r="B41" s="2" t="s">
        <v>787</v>
      </c>
      <c r="C41" s="2" t="s">
        <v>243</v>
      </c>
      <c r="D41" s="2" t="s">
        <v>788</v>
      </c>
      <c r="E41" s="2"/>
      <c r="F41" s="2"/>
      <c r="G41" s="2"/>
    </row>
    <row r="42" customFormat="false" ht="23.85" hidden="false" customHeight="false" outlineLevel="0" collapsed="false">
      <c r="A42" s="2" t="n">
        <v>289</v>
      </c>
      <c r="B42" s="2" t="s">
        <v>789</v>
      </c>
      <c r="C42" s="2" t="s">
        <v>790</v>
      </c>
      <c r="D42" s="2" t="s">
        <v>791</v>
      </c>
      <c r="E42" s="2"/>
      <c r="F42" s="2"/>
      <c r="G4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2026-09-24T22:52:45Z</dcterms:created>
  <dc:creator>openpyxl</dc:creator>
  <dc:description/>
  <dc:language>en-US</dc:language>
  <cp:lastModifiedBy/>
  <dcterms:modified xsi:type="dcterms:W3CDTF">2026-09-24T22:52:46Z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